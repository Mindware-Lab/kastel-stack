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c630f6f99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ebcc198a073a445c"/>
    <x:sheet xmlns:r="http://schemas.openxmlformats.org/officeDocument/2006/relationships" name="P&amp;L (Monthly)" sheetId="2" r:id="R7b61bff12f824267"/>
    <x:sheet xmlns:r="http://schemas.openxmlformats.org/officeDocument/2006/relationships" name="Cashflow (Monthly)" sheetId="3" r:id="R886fe18efad8471e"/>
    <x:sheet xmlns:r="http://schemas.openxmlformats.org/officeDocument/2006/relationships" name="Investor Dashboard" sheetId="4" r:id="R0591899b0b94421b"/>
  </x:sheets>
</x:workbook>
</file>

<file path=xl/comments1.xml><?xml version="1.0" encoding="utf-8"?>
<x:comments xmlns:x="http://schemas.openxmlformats.org/spreadsheetml/2006/main">
  <x:authors>
    <x:author>IQM</x:author>
  </x:authors>
  <x:commentList>
    <x:comment ref="A1" authorId="0">
      <x:text>
        <x:r>
          <x:t>Planning model created for investor discussion.</x:t>
        </x:r>
      </x:text>
    </x:comment>
    <x:comment ref="A4" authorId="0">
      <x:text>
        <x:r>
          <x:t>Prompt injection security stance: https://www.ncsc.gov.uk/blog-post/prompt-injection-is-not-sql-injection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yyyy-mm-dd"/>
    <x:numFmt numFmtId="165" formatCode="#,##0;[Red](#,##0);&quot;–&quot;"/>
    <x:numFmt numFmtId="166" formatCode="£#,##0;[Red](£#,##0);&quot;–&quot;"/>
    <x:numFmt numFmtId="167" formatCode="0.0"/>
    <x:numFmt numFmtId="168" formatCode="0.0%;[Red](0.0%);&quot;–&quot;"/>
    <x:numFmt numFmtId="169" formatCode="#,##0.0;[Red](#,##0.0);&quot;–&quot;"/>
    <x:numFmt numFmtId="170" formatCode="#,##0.00;[Red](#,##0.00);&quot;–&quot;"/>
  </x:numFmts>
  <x:fonts count="12">
    <x:font>
      <x:sz val="11"/>
      <x:color theme="1"/>
      <x:name val="Calibri"/>
      <x:family val="2"/>
      <x:scheme val="minor"/>
    </x:font>
    <x:font>
      <x:b/>
      <x:sz val="18"/>
      <x:color rgb="000B1320"/>
      <x:name val="Calibri"/>
    </x:font>
    <x:font>
      <x:sz val="11"/>
      <x:color rgb="00334155"/>
      <x:name val="Calibri"/>
    </x:font>
    <x:font>
      <x:b/>
      <x:sz val="11"/>
      <x:color rgb="00FFFFFF"/>
      <x:name val="Calibri"/>
    </x:font>
    <x:font>
      <x:b/>
      <x:sz val="10"/>
      <x:color rgb="000B1320"/>
      <x:name val="Calibri"/>
    </x:font>
    <x:font>
      <x:sz val="10"/>
      <x:color rgb="000000FF"/>
      <x:name val="Calibri"/>
    </x:font>
    <x:font>
      <x:sz val="10"/>
      <x:color rgb="00334155"/>
      <x:name val="Calibri"/>
    </x:font>
    <x:font>
      <x:b/>
      <x:sz val="12"/>
      <x:color rgb="00FFFFFF"/>
      <x:name val="Calibri"/>
    </x:font>
    <x:font>
      <x:sz val="10"/>
      <x:color rgb="00000000"/>
      <x:name val="Calibri"/>
    </x:font>
    <x:font>
      <x:sz val="10"/>
      <x:color rgb="000B1320"/>
      <x:name val="Calibri"/>
    </x:font>
    <x:font>
      <x:sz val="10"/>
      <x:color rgb="00008000"/>
      <x:name val="Calibri"/>
    </x:font>
    <x:font>
      <x:sz val="9"/>
      <x:color rgb="00334155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0111827"/>
      </x:patternFill>
    </x:fill>
    <x:fill>
      <x:patternFill patternType="solid">
        <x:fgColor rgb="00E8F1FF"/>
      </x:patternFill>
    </x:fill>
    <x:fill>
      <x:patternFill patternType="solid">
        <x:fgColor rgb="00F1F5F9"/>
      </x:patternFill>
    </x:fill>
    <x:fill>
      <x:patternFill patternType="solid">
        <x:fgColor rgb="000B1320"/>
      </x:patternFill>
    </x:fill>
    <x:fill>
      <x:patternFill patternType="solid">
        <x:fgColor rgb="00CCFF66"/>
      </x:patternFill>
    </x:fill>
  </x:fills>
  <x:borders count="10">
    <x:border>
      <x:left/>
      <x:right/>
      <x:top/>
      <x:bottom/>
      <x:diagonal/>
    </x:border>
    <x:border>
      <x:left style="thin">
        <x:color rgb="00CBD5E1"/>
      </x:left>
      <x:right style="thin">
        <x:color rgb="00CBD5E1"/>
      </x:right>
      <x:top style="thin">
        <x:color rgb="00CBD5E1"/>
      </x:top>
      <x:bottom style="thin">
        <x:color rgb="00CBD5E1"/>
      </x:bottom>
    </x:border>
    <x:border>
      <x:left style="thin">
        <x:color rgb="00CBD5E1"/>
      </x:left>
      <x:right style="thin">
        <x:color rgb="00CBD5E1"/>
      </x:right>
      <x:top style="medium">
        <x:color rgb="00334155"/>
      </x:top>
      <x:bottom style="thin">
        <x:color rgb="00CBD5E1"/>
      </x:bottom>
    </x:border>
    <x:border>
      <x:left/>
      <x:right/>
      <x:top style="thin">
        <x:color rgb="00CBD5E1"/>
      </x:top>
      <x:bottom/>
      <x:diagonal/>
    </x:border>
    <x:border>
      <x:left style="thin">
        <x:color rgb="00CBD5E1"/>
      </x:left>
      <x:right/>
      <x:top/>
      <x:bottom/>
      <x:diagonal/>
    </x:border>
    <x:border>
      <x:left/>
      <x:right style="thin">
        <x:color rgb="00CBD5E1"/>
      </x:right>
      <x:top style="thin">
        <x:color rgb="00CBD5E1"/>
      </x:top>
      <x:bottom/>
      <x:diagonal/>
    </x:border>
    <x:border>
      <x:left/>
      <x:right style="thin">
        <x:color rgb="00CBD5E1"/>
      </x:right>
      <x:top/>
      <x:bottom/>
      <x:diagonal/>
    </x:border>
    <x:border>
      <x:left style="thin">
        <x:color rgb="00CBD5E1"/>
      </x:left>
      <x:right/>
      <x:top/>
      <x:bottom style="thin">
        <x:color rgb="00CBD5E1"/>
      </x:bottom>
      <x:diagonal/>
    </x:border>
    <x:border>
      <x:left/>
      <x:right/>
      <x:top/>
      <x:bottom style="thin">
        <x:color rgb="00CBD5E1"/>
      </x:bottom>
      <x:diagonal/>
    </x:border>
    <x:border>
      <x:left/>
      <x:right style="thin">
        <x:color rgb="00CBD5E1"/>
      </x:right>
      <x:top/>
      <x:bottom style="thin">
        <x:color rgb="00CBD5E1"/>
      </x:bottom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left" vertical="center"/>
    </x:xf>
    <x:xf numFmtId="0" fontId="4" fillId="0" borderId="0" xfId="0" applyAlignment="1">
      <x:alignment horizontal="left" vertical="center"/>
    </x:xf>
    <x:xf numFmtId="164" fontId="5" fillId="3" borderId="1" xfId="0" applyAlignment="1">
      <x:alignment horizontal="right" vertical="center"/>
    </x:xf>
    <x:xf numFmtId="165" fontId="5" fillId="3" borderId="1" xfId="0" applyAlignment="1">
      <x:alignment horizontal="right" vertical="center"/>
    </x:xf>
    <x:xf numFmtId="166" fontId="5" fillId="3" borderId="1" xfId="0" applyAlignment="1">
      <x:alignment horizontal="right" vertical="center"/>
    </x:xf>
    <x:xf numFmtId="0" fontId="4" fillId="0" borderId="0" xfId="0"/>
    <x:xf numFmtId="167" fontId="5" fillId="3" borderId="1" xfId="0" applyAlignment="1">
      <x:alignment horizontal="right" vertical="center"/>
    </x:xf>
    <x:xf numFmtId="168" fontId="5" fillId="3" borderId="1" xfId="0" applyAlignment="1">
      <x:alignment horizontal="right" vertical="center"/>
    </x:xf>
    <x:xf numFmtId="0" fontId="6" fillId="4" borderId="1" xfId="0" applyAlignment="1">
      <x:alignment horizontal="left" vertical="top" wrapText="1"/>
    </x:xf>
    <x:xf numFmtId="0" fontId="7" fillId="5" borderId="1" xfId="0" applyAlignment="1">
      <x:alignment horizontal="left" vertical="center"/>
    </x:xf>
    <x:xf numFmtId="0" fontId="7" fillId="5" borderId="1" xfId="0" applyAlignment="1">
      <x:alignment horizontal="center" vertical="center"/>
    </x:xf>
    <x:xf numFmtId="0" fontId="3" fillId="2" borderId="1" xfId="0" applyAlignment="1">
      <x:alignment horizontal="left" vertical="center"/>
    </x:xf>
    <x:xf numFmtId="0" fontId="0" fillId="2" borderId="1" xfId="0"/>
    <x:xf numFmtId="0" fontId="4" fillId="0" borderId="1" xfId="0" applyAlignment="1">
      <x:alignment horizontal="left" vertical="center"/>
    </x:xf>
    <x:xf numFmtId="165" fontId="8" fillId="0" borderId="1" xfId="0" applyAlignment="1">
      <x:alignment horizontal="right" vertical="center"/>
    </x:xf>
    <x:xf numFmtId="166" fontId="8" fillId="0" borderId="1" xfId="0" applyAlignment="1">
      <x:alignment horizontal="right" vertical="center"/>
    </x:xf>
    <x:xf numFmtId="0" fontId="4" fillId="0" borderId="2" xfId="0" applyAlignment="1">
      <x:alignment horizontal="left" vertical="center"/>
    </x:xf>
    <x:xf numFmtId="166" fontId="4" fillId="4" borderId="2" xfId="0" applyAlignment="1">
      <x:alignment horizontal="right" vertical="center"/>
    </x:xf>
    <x:xf numFmtId="0" fontId="9" fillId="0" borderId="1" xfId="0" applyAlignment="1">
      <x:alignment horizontal="left" vertical="center"/>
    </x:xf>
    <x:xf numFmtId="166" fontId="10" fillId="4" borderId="1" xfId="0" applyAlignment="1">
      <x:alignment horizontal="right" vertical="center"/>
    </x:xf>
    <x:xf numFmtId="166" fontId="4" fillId="0" borderId="1" xfId="0" applyAlignment="1">
      <x:alignment horizontal="right" vertical="center"/>
    </x:xf>
    <x:xf numFmtId="166" fontId="4" fillId="6" borderId="1" xfId="0" applyAlignment="1">
      <x:alignment horizontal="right" vertical="center"/>
    </x:xf>
    <x:xf numFmtId="165" fontId="0" fillId="3" borderId="1" xfId="0" applyAlignment="1">
      <x:alignment horizontal="right" vertical="center"/>
    </x:xf>
    <x:xf numFmtId="0" fontId="6" fillId="0" borderId="1" xfId="0" applyAlignment="1">
      <x:alignment horizontal="left" vertical="top" wrapText="1"/>
    </x:xf>
    <x:xf numFmtId="0" fontId="0" fillId="3" borderId="1" xfId="0" applyAlignment="1">
      <x:alignment horizontal="right" vertical="center"/>
    </x:xf>
    <x:xf numFmtId="0" fontId="0" fillId="6" borderId="1" xfId="0" applyAlignment="1">
      <x:alignment horizontal="left" vertical="center"/>
    </x:xf>
    <x:xf numFmtId="166" fontId="0" fillId="6" borderId="1" xfId="0" applyAlignment="1">
      <x:alignment horizontal="right" vertical="center"/>
    </x:xf>
    <x:xf numFmtId="0" fontId="11" fillId="0" borderId="0" xfId="0"/>
    <x:xf numFmtId="165" fontId="11" fillId="0" borderId="0" xfId="0"/>
    <x:xf numFmtId="0" fontId="0" fillId="0" borderId="3" xfId="0"/>
    <x:xf numFmtId="0" fontId="0" fillId="0" borderId="5" xfId="0"/>
    <x:xf numFmtId="0" fontId="0" fillId="0" borderId="4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5" fillId="3" borderId="1" xfId="0" applyAlignment="1">
      <x:alignment horizontal="right" vertical="center"/>
    </x:xf>
    <x:xf numFmtId="170" fontId="5" fillId="3" borderId="1" xfId="0" applyAlignment="1">
      <x:alignment horizontal="right" vertical="center"/>
    </x:xf>
    <x:xf numFmtId="170" fontId="8" fillId="0" borderId="1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8e104d7344808" /><Relationship Type="http://schemas.openxmlformats.org/officeDocument/2006/relationships/theme" Target="/xl/theme/theme1.xml" Id="R0b954755f2f941f9" /><Relationship Type="http://schemas.openxmlformats.org/officeDocument/2006/relationships/sharedStrings" Target="/xl/sharedStrings.xml" Id="R4e7107af9bf94410" /><Relationship Type="http://schemas.openxmlformats.org/officeDocument/2006/relationships/worksheet" Target="/xl/worksheets/sheet1.xml" Id="Rebcc198a073a445c" /><Relationship Type="http://schemas.openxmlformats.org/officeDocument/2006/relationships/worksheet" Target="/xl/worksheets/sheet2.xml" Id="R7b61bff12f824267" /><Relationship Type="http://schemas.openxmlformats.org/officeDocument/2006/relationships/worksheet" Target="/xl/worksheets/sheet3.xml" Id="R886fe18efad8471e" /><Relationship Type="http://schemas.openxmlformats.org/officeDocument/2006/relationships/worksheet" Target="/xl/worksheets/sheet4.xml" Id="R0591899b0b94421b" /><Relationship Type="http://schemas.microsoft.com/office/2017/10/relationships/person" Target="/xl/persons/person.xml" Id="R1c77a4e153f74061" /></Relationships>
</file>

<file path=xl/persons/person.xml><?xml version="1.0" encoding="utf-8"?>
<xltc:personList xmlns:xltc="http://schemas.microsoft.com/office/spreadsheetml/2018/threadedcomments">
  <xltc:person displayName="IQM" id="{87346F0D-4CD1-7171-177B-BD2CF9C42E7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fffaeecf276419f" /><Relationship Type="http://schemas.openxmlformats.org/officeDocument/2006/relationships/vmlDrawing" Target="/xl/drawings/vmldrawing.vml" Id="R69af136dcb6f4f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customWidth="1"/>
    <x:col min="2" max="2" width="18" customWidth="1"/>
    <x:col min="3" max="3" width="18" customWidth="1"/>
    <x:col min="4" max="4" width="30" customWidth="1"/>
  </x:cols>
  <x:sheetData>
    <x:row r="1">
      <x:c r="A1" s="1" t="inlineStr">
        <x:is>
          <x:t xml:space="preserve">Kastel Stack — Speculative Financial Model (Scenario-driven)</x:t>
        </x:is>
      </x:c>
    </x:row>
    <x:row r="2">
      <x:c r="A2" s="2" t="inlineStr">
        <x:is>
          <x:t xml:space="preserve">For planning only. Edit blue cells (incl. scenario table). All figures GBP.</x:t>
        </x:is>
      </x:c>
    </x:row>
    <x:row r="3"/>
    <x:row r="4">
      <x:c r="A4" s="3" t="inlineStr">
        <x:is>
          <x:t xml:space="preserve">Model Timeline</x:t>
        </x:is>
      </x:c>
      <x:c r="F4" s="3" t="inlineStr">
        <x:is>
          <x:t xml:space="preserve">Scenario controls (edit table; model uses selected scenario)</x:t>
        </x:is>
      </x:c>
      <x:c r="G4" s="3" t="n"/>
      <x:c r="H4" s="3" t="n"/>
      <x:c r="I4" s="3" t="n"/>
    </x:row>
    <x:row r="5">
      <x:c r="A5" s="4" t="inlineStr">
        <x:is>
          <x:t xml:space="preserve">Start month</x:t>
        </x:is>
      </x:c>
      <x:c r="B5" s="5" t="inlineStr">
        <x:is>
          <x:t xml:space="preserve">2026-03-01</x:t>
        </x:is>
      </x:c>
      <x:c r="F5" s="8" t="inlineStr">
        <x:is>
          <x:t xml:space="preserve">Scenario</x:t>
        </x:is>
      </x:c>
      <x:c r="G5" s="39" t="inlineStr">
        <x:is>
          <x:t xml:space="preserve">Base</x:t>
        </x:is>
      </x:c>
    </x:row>
    <x:row r="6">
      <x:c r="A6" s="4" t="inlineStr">
        <x:is>
          <x:t xml:space="preserve">Months</x:t>
        </x:is>
      </x:c>
      <x:c r="B6" s="6" t="n">
        <x:v>24</x:v>
      </x:c>
    </x:row>
    <x:row r="7">
      <x:c r="A7" s="4" t="inlineStr">
        <x:is>
          <x:t xml:space="preserve">Investor cash in (month 1)</x:t>
        </x:is>
      </x:c>
      <x:c r="B7" s="7" t="n">
        <x:v>15000</x:v>
      </x:c>
      <x:c r="F7" s="3" t="inlineStr">
        <x:is>
          <x:t xml:space="preserve">Input</x:t>
        </x:is>
      </x:c>
      <x:c r="G7" s="3" t="inlineStr">
        <x:is>
          <x:t xml:space="preserve">Conservative</x:t>
        </x:is>
      </x:c>
      <x:c r="H7" s="3" t="inlineStr">
        <x:is>
          <x:t xml:space="preserve">Base</x:t>
        </x:is>
      </x:c>
      <x:c r="I7" s="3" t="inlineStr">
        <x:is>
          <x:t xml:space="preserve">Upside</x:t>
        </x:is>
      </x:c>
    </x:row>
    <x:row r="8">
      <x:c r="F8" s="8" t="inlineStr">
        <x:is>
          <x:t xml:space="preserve">New Tier A customers / month (from month 4)</x:t>
        </x:is>
      </x:c>
      <x:c r="G8" s="6" t="n">
        <x:v>1</x:v>
      </x:c>
      <x:c r="H8" s="6" t="n">
        <x:v>2</x:v>
      </x:c>
      <x:c r="I8" s="6" t="n">
        <x:v>3</x:v>
      </x:c>
    </x:row>
    <x:row r="9">
      <x:c r="A9" s="3" t="inlineStr">
        <x:is>
          <x:t xml:space="preserve">Pricing (speculative)</x:t>
        </x:is>
      </x:c>
      <x:c r="F9" s="8" t="inlineStr">
        <x:is>
          <x:t xml:space="preserve">New Tier B customers / month (from month 4)</x:t>
        </x:is>
      </x:c>
      <x:c r="G9" s="6" t="n">
        <x:v>1</x:v>
      </x:c>
      <x:c r="H9" s="6" t="n">
        <x:v>1</x:v>
      </x:c>
      <x:c r="I9" s="6" t="n">
        <x:v>2</x:v>
      </x:c>
    </x:row>
    <x:row r="10">
      <x:c r="A10" s="8" t="inlineStr">
        <x:is>
          <x:t xml:space="preserve">Tier A monthly price</x:t>
        </x:is>
      </x:c>
      <x:c r="B10" s="7" t="n">
        <x:v>99</x:v>
      </x:c>
      <x:c r="F10" s="8" t="inlineStr">
        <x:is>
          <x:t xml:space="preserve">New Tier C customers / month (from month 7)</x:t>
        </x:is>
      </x:c>
      <x:c r="G10" s="40" t="n">
        <x:v>0.25</x:v>
      </x:c>
      <x:c r="H10" s="40" t="n">
        <x:v>0.5</x:v>
      </x:c>
      <x:c r="I10" s="40" t="n">
        <x:v>0.75</x:v>
      </x:c>
    </x:row>
    <x:row r="11">
      <x:c r="A11" s="8" t="inlineStr">
        <x:is>
          <x:t xml:space="preserve">Tier B monthly price</x:t>
        </x:is>
      </x:c>
      <x:c r="B11" s="7" t="n">
        <x:v>199</x:v>
      </x:c>
      <x:c r="F11" s="8" t="inlineStr">
        <x:is>
          <x:t xml:space="preserve">Tier A monthly churn</x:t>
        </x:is>
      </x:c>
      <x:c r="G11" s="10" t="n">
        <x:v>0.05</x:v>
      </x:c>
      <x:c r="H11" s="10" t="n">
        <x:v>0.04</x:v>
      </x:c>
      <x:c r="I11" s="10" t="n">
        <x:v>0.03</x:v>
      </x:c>
    </x:row>
    <x:row r="12">
      <x:c r="A12" s="8" t="inlineStr">
        <x:is>
          <x:t xml:space="preserve">Tier C annual maintenance/support fee (optional)</x:t>
        </x:is>
      </x:c>
      <x:c r="B12" s="7" t="n">
        <x:v>1200</x:v>
      </x:c>
      <x:c r="F12" s="8" t="inlineStr">
        <x:is>
          <x:t xml:space="preserve">Tier B monthly churn</x:t>
        </x:is>
      </x:c>
      <x:c r="G12" s="10" t="n">
        <x:v>0.04</x:v>
      </x:c>
      <x:c r="H12" s="10" t="n">
        <x:v>0.03</x:v>
      </x:c>
      <x:c r="I12" s="10" t="n">
        <x:v>0.02</x:v>
      </x:c>
    </x:row>
    <x:row r="13">
      <x:c r="A13" s="8" t="inlineStr">
        <x:is>
          <x:t xml:space="preserve">Tier B setup fee (one-off)</x:t>
        </x:is>
      </x:c>
      <x:c r="B13" s="7" t="n">
        <x:v>1500</x:v>
      </x:c>
      <x:c r="F13" s="8" t="inlineStr">
        <x:is>
          <x:t xml:space="preserve">Tier C monthly churn</x:t>
        </x:is>
      </x:c>
      <x:c r="G13" s="10" t="n">
        <x:v>0.015</x:v>
      </x:c>
      <x:c r="H13" s="10" t="n">
        <x:v>0.01</x:v>
      </x:c>
      <x:c r="I13" s="10" t="n">
        <x:v>0.008</x:v>
      </x:c>
    </x:row>
    <x:row r="14">
      <x:c r="A14" s="8" t="inlineStr">
        <x:is>
          <x:t xml:space="preserve">Tier C licence + installation fee (one-off)</x:t>
        </x:is>
      </x:c>
      <x:c r="B14" s="7" t="n">
        <x:v>4500</x:v>
      </x:c>
      <x:c r="F14" s="8" t="inlineStr">
        <x:is>
          <x:t xml:space="preserve">Marketing start month</x:t>
        </x:is>
      </x:c>
      <x:c r="G14" s="6" t="n">
        <x:v>10</x:v>
      </x:c>
      <x:c r="H14" s="6" t="n">
        <x:v>7</x:v>
      </x:c>
      <x:c r="I14" s="6" t="n">
        <x:v>6</x:v>
      </x:c>
    </x:row>
    <x:row r="15">
      <x:c r="A15" s="8" t="inlineStr">
        <x:is>
          <x:t xml:space="preserve">Tier C hardware price (one-off)</x:t>
        </x:is>
      </x:c>
      <x:c r="B15" s="7" t="n">
        <x:v>900</x:v>
      </x:c>
      <x:c r="F15" s="8" t="inlineStr">
        <x:is>
          <x:t xml:space="preserve">Marketing operator monthly cost</x:t>
        </x:is>
      </x:c>
      <x:c r="G15" s="7" t="n">
        <x:v>2500</x:v>
      </x:c>
      <x:c r="H15" s="7" t="n">
        <x:v>3000</x:v>
      </x:c>
      <x:c r="I15" s="7" t="n">
        <x:v>3500</x:v>
      </x:c>
    </x:row>
    <x:row r="16">
      <x:c r="A16" s="8" t="inlineStr">
        <x:is>
          <x:t xml:space="preserve">Tier C hardware cost (COGS)</x:t>
        </x:is>
      </x:c>
      <x:c r="B16" s="7" t="n">
        <x:v>450</x:v>
      </x:c>
      <x:c r="F16" s="8" t="inlineStr">
        <x:is>
          <x:t xml:space="preserve">Founder draw / salary per month</x:t>
        </x:is>
      </x:c>
      <x:c r="G16" s="7" t="n">
        <x:v>2000</x:v>
      </x:c>
      <x:c r="H16" s="7" t="n">
        <x:v>2500</x:v>
      </x:c>
      <x:c r="I16" s="7" t="n">
        <x:v>2500</x:v>
      </x:c>
    </x:row>
    <x:row r="17">
      <x:c r="A17" s="8" t="inlineStr">
        <x:is>
          <x:t xml:space="preserve">Tier C maintenance attach rate</x:t>
        </x:is>
      </x:c>
      <x:c r="B17" s="10" t="n">
        <x:v>0.7</x:v>
      </x:c>
      <x:c r="F17" s="8" t="inlineStr">
        <x:is>
          <x:t xml:space="preserve">Payment processing fees (% of revenue)</x:t>
        </x:is>
      </x:c>
      <x:c r="G17" s="10" t="n">
        <x:v>0.04</x:v>
      </x:c>
      <x:c r="H17" s="10" t="n">
        <x:v>0.04</x:v>
      </x:c>
      <x:c r="I17" s="10" t="n">
        <x:v>0.035</x:v>
      </x:c>
    </x:row>
    <x:row r="18">
      <x:c r="A18" s="3" t="inlineStr">
        <x:is>
          <x:t xml:space="preserve">Customer growth &amp; churn (speculative)</x:t>
        </x:is>
      </x:c>
    </x:row>
    <x:row r="19">
      <x:c r="A19" s="8" t="inlineStr">
        <x:is>
          <x:t xml:space="preserve">New Tier A customers / month (from month 4)</x:t>
        </x:is>
      </x:c>
      <x:c r="B19" s="9">
        <x:f>INDEX($G$8:$I$8,MATCH($G$5,$G$7:$I$7,0))</x:f>
        <x:v>23</x:v>
      </x:c>
    </x:row>
    <x:row r="20">
      <x:c r="A20" s="8" t="inlineStr">
        <x:is>
          <x:t xml:space="preserve">New Tier B customers / month (from month 4)</x:t>
        </x:is>
      </x:c>
      <x:c r="B20" s="6">
        <x:f>INDEX($G$9:$I$9,MATCH($G$5,$G$7:$I$7,0))</x:f>
        <x:v>23</x:v>
      </x:c>
    </x:row>
    <x:row r="21">
      <x:c r="A21" s="8" t="inlineStr">
        <x:is>
          <x:t xml:space="preserve">New Tier C customers / month (from month 7)</x:t>
        </x:is>
      </x:c>
      <x:c r="B21" s="40">
        <x:f>INDEX($G$10:$I$10,MATCH($G$5,$G$7:$I$7,0))</x:f>
        <x:v>23</x:v>
      </x:c>
    </x:row>
    <x:row r="22">
      <x:c r="A22" s="8" t="inlineStr">
        <x:is>
          <x:t xml:space="preserve">Tier A monthly churn</x:t>
        </x:is>
      </x:c>
      <x:c r="B22" s="10">
        <x:f>INDEX($G$11:$I$11,MATCH($G$5,$G$7:$I$7,0))</x:f>
        <x:v>23</x:v>
      </x:c>
    </x:row>
    <x:row r="23">
      <x:c r="A23" s="8" t="inlineStr">
        <x:is>
          <x:t xml:space="preserve">Tier B monthly churn</x:t>
        </x:is>
      </x:c>
      <x:c r="B23" s="10">
        <x:f>INDEX($G$12:$I$12,MATCH($G$5,$G$7:$I$7,0))</x:f>
        <x:v>23</x:v>
      </x:c>
    </x:row>
    <x:row r="24">
      <x:c r="A24" s="8" t="inlineStr">
        <x:is>
          <x:t xml:space="preserve">Tier C monthly churn</x:t>
        </x:is>
      </x:c>
      <x:c r="B24" s="10">
        <x:f>INDEX($G$13:$I$13,MATCH($G$5,$G$7:$I$7,0))</x:f>
        <x:v>23</x:v>
      </x:c>
    </x:row>
    <x:row r="25"/>
    <x:row r="26">
      <x:c r="A26" s="3" t="inlineStr">
        <x:is>
          <x:t xml:space="preserve">Operating costs (speculative)</x:t>
        </x:is>
      </x:c>
    </x:row>
    <x:row r="27">
      <x:c r="A27" s="8" t="inlineStr">
        <x:is>
          <x:t xml:space="preserve">Freelancer hardening (one-off, month 2)</x:t>
        </x:is>
      </x:c>
      <x:c r="B27" s="7" t="n">
        <x:v>3000</x:v>
      </x:c>
    </x:row>
    <x:row r="28">
      <x:c r="A28" s="8" t="inlineStr">
        <x:is>
          <x:t xml:space="preserve">Hosting &amp; tooling per active Tier A customer / month</x:t>
        </x:is>
      </x:c>
      <x:c r="B28" s="7" t="n">
        <x:v>10</x:v>
      </x:c>
    </x:row>
    <x:row r="29">
      <x:c r="A29" s="8" t="inlineStr">
        <x:is>
          <x:t xml:space="preserve">Hosting &amp; tooling per active Tier B customer / month</x:t>
        </x:is>
      </x:c>
      <x:c r="B29" s="7" t="n">
        <x:v>15</x:v>
      </x:c>
    </x:row>
    <x:row r="30">
      <x:c r="A30" s="8" t="inlineStr">
        <x:is>
          <x:t xml:space="preserve">Support/update infra per Tier C maintenance customer / month</x:t>
        </x:is>
      </x:c>
      <x:c r="B30" s="7" t="n">
        <x:v>10</x:v>
      </x:c>
    </x:row>
    <x:row r="31">
      <x:c r="A31" s="8" t="inlineStr">
        <x:is>
          <x:t xml:space="preserve">Baseline software/accounting/ops per month</x:t>
        </x:is>
      </x:c>
      <x:c r="B31" s="7" t="n">
        <x:v>350</x:v>
      </x:c>
    </x:row>
    <x:row r="32">
      <x:c r="A32" s="8" t="inlineStr">
        <x:is>
          <x:t xml:space="preserve">Marketing operator monthly cost</x:t>
        </x:is>
      </x:c>
      <x:c r="B32" s="7">
        <x:f>INDEX($G$15:$I$15,MATCH($G$5,$G$7:$I$7,0))</x:f>
        <x:v>23</x:v>
      </x:c>
    </x:row>
    <x:row r="33">
      <x:c r="A33" s="8" t="inlineStr">
        <x:is>
          <x:t xml:space="preserve">Marketing start month</x:t>
        </x:is>
      </x:c>
      <x:c r="B33" s="6">
        <x:f>INDEX($G$14:$I$14,MATCH($G$5,$G$7:$I$7,0))</x:f>
        <x:v>23</x:v>
      </x:c>
    </x:row>
    <x:row r="34">
      <x:c r="A34" s="8" t="inlineStr">
        <x:is>
          <x:t xml:space="preserve">Founder draw / salary per month</x:t>
        </x:is>
      </x:c>
    </x:row>
    <x:row r="35"/>
    <x:row r="36"/>
    <x:row r="37">
      <x:c r="A37" s="38" t="n"/>
      <x:c r="B37" s="38" t="n"/>
      <x:c r="C37" s="38" t="n"/>
      <x:c r="D37" s="38" t="n"/>
    </x:row>
    <x:row r="38">
      <x:c r="A38" s="38" t="n"/>
      <x:c r="B38" s="38" t="n"/>
      <x:c r="C38" s="38" t="n"/>
      <x:c r="D38" s="38" t="n"/>
    </x:row>
    <x:row r="39">
      <x:c r="A39" s="38" t="n"/>
      <x:c r="B39" s="38" t="n"/>
      <x:c r="C39" s="38" t="n"/>
      <x:c r="D39" s="38" t="n"/>
    </x:row>
    <x:row r="40">
      <x:c r="A40" s="38" t="n"/>
      <x:c r="B40" s="38" t="n"/>
      <x:c r="C40" s="38" t="n"/>
      <x:c r="D40" s="38" t="n"/>
    </x:row>
    <x:row r="41">
      <x:c r="A41" s="38" t="n"/>
      <x:c r="B41" s="38" t="n"/>
      <x:c r="C41" s="38" t="n"/>
      <x:c r="D41" s="38" t="n"/>
    </x:row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</x:sheetData>
  <x:mergeCells>
    <x:mergeCell ref="A9:D9"/>
    <x:mergeCell ref="A18:D18"/>
    <x:mergeCell ref="A4:D4"/>
    <x:mergeCell ref="F4:I4"/>
    <x:mergeCell ref="A26:D26"/>
    <x:mergeCell ref="A37:D41"/>
  </x:mergeCells>
  <x:pageMargins left="0.7" right="0.7" top="0.75" bottom="0.75" header="0.3" footer="0.3"/>
  <x:legacyDrawing xmlns:r="http://schemas.openxmlformats.org/officeDocument/2006/relationships" r:id="R69af136dcb6f4fb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</x:cols>
  <x:sheetData>
    <x:row r="1">
      <x:c r="A1" s="1" t="inlineStr">
        <x:is>
          <x:t xml:space="preserve">P&amp;L — Monthly (GBP, speculative) — Kastel Stack</x:t>
        </x:is>
      </x:c>
    </x:row>
    <x:row r="2">
      <x:c r="A2" s="2" t="inlineStr">
        <x:is>
          <x:t xml:space="preserve">Blue = inputs (Assumptions). Black = formulas. Zero shown as –.</x:t>
        </x:is>
      </x:c>
    </x:row>
    <x:row r="4">
      <x:c r="A4" s="12" t="inlineStr">
        <x:is>
          <x:t xml:space="preserve">Line item</x:t>
        </x:is>
      </x:c>
      <x:c r="B4" s="13" t="inlineStr">
        <x:is>
          <x:t xml:space="preserve">Mar-26</x:t>
        </x:is>
      </x:c>
      <x:c r="C4" s="13" t="inlineStr">
        <x:is>
          <x:t xml:space="preserve">Apr-26</x:t>
        </x:is>
      </x:c>
      <x:c r="D4" s="13" t="inlineStr">
        <x:is>
          <x:t xml:space="preserve">May-26</x:t>
        </x:is>
      </x:c>
      <x:c r="E4" s="13" t="inlineStr">
        <x:is>
          <x:t xml:space="preserve">Jun-26</x:t>
        </x:is>
      </x:c>
      <x:c r="F4" s="13" t="inlineStr">
        <x:is>
          <x:t xml:space="preserve">Jul-26</x:t>
        </x:is>
      </x:c>
      <x:c r="G4" s="13" t="inlineStr">
        <x:is>
          <x:t xml:space="preserve">Aug-26</x:t>
        </x:is>
      </x:c>
      <x:c r="H4" s="13" t="inlineStr">
        <x:is>
          <x:t xml:space="preserve">Sep-26</x:t>
        </x:is>
      </x:c>
      <x:c r="I4" s="13" t="inlineStr">
        <x:is>
          <x:t xml:space="preserve">Oct-26</x:t>
        </x:is>
      </x:c>
      <x:c r="J4" s="13" t="inlineStr">
        <x:is>
          <x:t xml:space="preserve">Nov-26</x:t>
        </x:is>
      </x:c>
      <x:c r="K4" s="13" t="inlineStr">
        <x:is>
          <x:t xml:space="preserve">Dec-26</x:t>
        </x:is>
      </x:c>
      <x:c r="L4" s="13" t="inlineStr">
        <x:is>
          <x:t xml:space="preserve">Jan-27</x:t>
        </x:is>
      </x:c>
      <x:c r="M4" s="13" t="inlineStr">
        <x:is>
          <x:t xml:space="preserve">Feb-27</x:t>
        </x:is>
      </x:c>
      <x:c r="N4" s="13" t="inlineStr">
        <x:is>
          <x:t xml:space="preserve">Mar-27</x:t>
        </x:is>
      </x:c>
      <x:c r="O4" s="13" t="inlineStr">
        <x:is>
          <x:t xml:space="preserve">Apr-27</x:t>
        </x:is>
      </x:c>
      <x:c r="P4" s="13" t="inlineStr">
        <x:is>
          <x:t xml:space="preserve">May-27</x:t>
        </x:is>
      </x:c>
      <x:c r="Q4" s="13" t="inlineStr">
        <x:is>
          <x:t xml:space="preserve">Jun-27</x:t>
        </x:is>
      </x:c>
      <x:c r="R4" s="13" t="inlineStr">
        <x:is>
          <x:t xml:space="preserve">Jul-27</x:t>
        </x:is>
      </x:c>
      <x:c r="S4" s="13" t="inlineStr">
        <x:is>
          <x:t xml:space="preserve">Aug-27</x:t>
        </x:is>
      </x:c>
      <x:c r="T4" s="13" t="inlineStr">
        <x:is>
          <x:t xml:space="preserve">Sep-27</x:t>
        </x:is>
      </x:c>
      <x:c r="U4" s="13" t="inlineStr">
        <x:is>
          <x:t xml:space="preserve">Oct-27</x:t>
        </x:is>
      </x:c>
      <x:c r="V4" s="13" t="inlineStr">
        <x:is>
          <x:t xml:space="preserve">Nov-27</x:t>
        </x:is>
      </x:c>
      <x:c r="W4" s="13" t="inlineStr">
        <x:is>
          <x:t xml:space="preserve">Dec-27</x:t>
        </x:is>
      </x:c>
      <x:c r="X4" s="13" t="inlineStr">
        <x:is>
          <x:t xml:space="preserve">Jan-28</x:t>
        </x:is>
      </x:c>
      <x:c r="Y4" s="13" t="inlineStr">
        <x:is>
          <x:t xml:space="preserve">Feb-28</x:t>
        </x:is>
      </x:c>
    </x:row>
    <x:row r="5">
      <x:c r="A5" s="14" t="inlineStr">
        <x:is>
          <x:t xml:space="preserve">Customers (end of month)</x:t>
        </x:is>
      </x:c>
      <x:c r="B5" s="15" t="n"/>
      <x:c r="C5" s="15" t="n"/>
      <x:c r="D5" s="15" t="n"/>
      <x:c r="E5" s="15" t="n"/>
      <x:c r="F5" s="15" t="n"/>
      <x:c r="G5" s="15" t="n"/>
      <x:c r="H5" s="15" t="n"/>
      <x:c r="I5" s="15" t="n"/>
      <x:c r="J5" s="15" t="n"/>
      <x:c r="K5" s="15" t="n"/>
      <x:c r="L5" s="15" t="n"/>
      <x:c r="M5" s="15" t="n"/>
      <x:c r="N5" s="15" t="n"/>
      <x:c r="O5" s="15" t="n"/>
      <x:c r="P5" s="15" t="n"/>
      <x:c r="Q5" s="15" t="n"/>
      <x:c r="R5" s="15" t="n"/>
      <x:c r="S5" s="15" t="n"/>
      <x:c r="T5" s="15" t="n"/>
      <x:c r="U5" s="15" t="n"/>
      <x:c r="V5" s="15" t="n"/>
      <x:c r="W5" s="15" t="n"/>
      <x:c r="X5" s="15" t="n"/>
      <x:c r="Y5" s="15" t="n"/>
    </x:row>
    <x:row r="6">
      <x:c r="A6" s="16" t="inlineStr">
        <x:is>
          <x:t xml:space="preserve">Tier A customers</x:t>
        </x:is>
      </x:c>
      <x:c r="B6" s="17">
        <x:f>ROUND(IF(1&gt;=4,Assumptions!$B$19,0),0)</x:f>
        <x:v>0</x:v>
      </x:c>
      <x:c r="C6" s="17">
        <x:f>ROUND(MAX(0,B6*(1-Assumptions!$B$22)+IF(2&gt;=4,Assumptions!$B$19,0)),0)</x:f>
        <x:v>23</x:v>
      </x:c>
      <x:c r="D6" s="17">
        <x:f>ROUND(MAX(0,C6*(1-Assumptions!$B$22)+IF(3&gt;=4,Assumptions!$B$19,0)),0)</x:f>
        <x:v>23</x:v>
      </x:c>
      <x:c r="E6" s="17">
        <x:f>ROUND(MAX(0,D6*(1-Assumptions!$B$22)+IF(4&gt;=4,Assumptions!$B$19,0)),0)</x:f>
        <x:v>23</x:v>
      </x:c>
      <x:c r="F6" s="17">
        <x:f>ROUND(MAX(0,E6*(1-Assumptions!$B$22)+IF(5&gt;=4,Assumptions!$B$19,0)),0)</x:f>
        <x:v>23</x:v>
      </x:c>
      <x:c r="G6" s="17">
        <x:f>ROUND(MAX(0,F6*(1-Assumptions!$B$22)+IF(6&gt;=4,Assumptions!$B$19,0)),0)</x:f>
        <x:v>23</x:v>
      </x:c>
      <x:c r="H6" s="17">
        <x:f>ROUND(MAX(0,G6*(1-Assumptions!$B$22)+IF(7&gt;=4,Assumptions!$B$19,0)),0)</x:f>
        <x:v>23</x:v>
      </x:c>
      <x:c r="I6" s="17">
        <x:f>ROUND(MAX(0,H6*(1-Assumptions!$B$22)+IF(8&gt;=4,Assumptions!$B$19,0)),0)</x:f>
        <x:v>23</x:v>
      </x:c>
      <x:c r="J6" s="17">
        <x:f>ROUND(MAX(0,I6*(1-Assumptions!$B$22)+IF(9&gt;=4,Assumptions!$B$19,0)),0)</x:f>
        <x:v>23</x:v>
      </x:c>
      <x:c r="K6" s="17">
        <x:f>ROUND(MAX(0,J6*(1-Assumptions!$B$22)+IF(10&gt;=4,Assumptions!$B$19,0)),0)</x:f>
        <x:v>23</x:v>
      </x:c>
      <x:c r="L6" s="17">
        <x:f>ROUND(MAX(0,K6*(1-Assumptions!$B$22)+IF(11&gt;=4,Assumptions!$B$19,0)),0)</x:f>
        <x:v>23</x:v>
      </x:c>
      <x:c r="M6" s="17">
        <x:f>ROUND(MAX(0,L6*(1-Assumptions!$B$22)+IF(12&gt;=4,Assumptions!$B$19,0)),0)</x:f>
        <x:v>23</x:v>
      </x:c>
      <x:c r="N6" s="17">
        <x:f>ROUND(MAX(0,M6*(1-Assumptions!$B$22)+IF(13&gt;=4,Assumptions!$B$19,0)),0)</x:f>
        <x:v>23</x:v>
      </x:c>
      <x:c r="O6" s="17">
        <x:f>ROUND(MAX(0,N6*(1-Assumptions!$B$22)+IF(14&gt;=4,Assumptions!$B$19,0)),0)</x:f>
        <x:v>23</x:v>
      </x:c>
      <x:c r="P6" s="17">
        <x:f>ROUND(MAX(0,O6*(1-Assumptions!$B$22)+IF(15&gt;=4,Assumptions!$B$19,0)),0)</x:f>
        <x:v>23</x:v>
      </x:c>
      <x:c r="Q6" s="17">
        <x:f>ROUND(MAX(0,P6*(1-Assumptions!$B$22)+IF(16&gt;=4,Assumptions!$B$19,0)),0)</x:f>
        <x:v>23</x:v>
      </x:c>
      <x:c r="R6" s="17">
        <x:f>ROUND(MAX(0,Q6*(1-Assumptions!$B$22)+IF(17&gt;=4,Assumptions!$B$19,0)),0)</x:f>
        <x:v>23</x:v>
      </x:c>
      <x:c r="S6" s="17">
        <x:f>ROUND(MAX(0,R6*(1-Assumptions!$B$22)+IF(18&gt;=4,Assumptions!$B$19,0)),0)</x:f>
        <x:v>23</x:v>
      </x:c>
      <x:c r="T6" s="17">
        <x:f>ROUND(MAX(0,S6*(1-Assumptions!$B$22)+IF(19&gt;=4,Assumptions!$B$19,0)),0)</x:f>
        <x:v>23</x:v>
      </x:c>
      <x:c r="U6" s="17">
        <x:f>ROUND(MAX(0,T6*(1-Assumptions!$B$22)+IF(20&gt;=4,Assumptions!$B$19,0)),0)</x:f>
        <x:v>23</x:v>
      </x:c>
      <x:c r="V6" s="17">
        <x:f>ROUND(MAX(0,U6*(1-Assumptions!$B$22)+IF(21&gt;=4,Assumptions!$B$19,0)),0)</x:f>
        <x:v>23</x:v>
      </x:c>
      <x:c r="W6" s="17">
        <x:f>ROUND(MAX(0,V6*(1-Assumptions!$B$22)+IF(22&gt;=4,Assumptions!$B$19,0)),0)</x:f>
        <x:v>23</x:v>
      </x:c>
      <x:c r="X6" s="17">
        <x:f>ROUND(MAX(0,W6*(1-Assumptions!$B$22)+IF(23&gt;=4,Assumptions!$B$19,0)),0)</x:f>
        <x:v>23</x:v>
      </x:c>
      <x:c r="Y6" s="17">
        <x:f>ROUND(MAX(0,X6*(1-Assumptions!$B$22)+IF(24&gt;=4,Assumptions!$B$19,0)),0)</x:f>
        <x:v>23</x:v>
      </x:c>
    </x:row>
    <x:row r="7">
      <x:c r="A7" s="16" t="inlineStr">
        <x:is>
          <x:t xml:space="preserve">Tier B customers</x:t>
        </x:is>
      </x:c>
      <x:c r="B7" s="17">
        <x:f>ROUND(IF(1&gt;=4,Assumptions!$B$20,0),0)</x:f>
        <x:v>0</x:v>
      </x:c>
      <x:c r="C7" s="17">
        <x:f>ROUND(MAX(0,B7*(1-Assumptions!$B$23)+IF(2&gt;=4,Assumptions!$B$20,0)),0)</x:f>
        <x:v>23</x:v>
      </x:c>
      <x:c r="D7" s="17">
        <x:f>ROUND(MAX(0,C7*(1-Assumptions!$B$23)+IF(3&gt;=4,Assumptions!$B$20,0)),0)</x:f>
        <x:v>23</x:v>
      </x:c>
      <x:c r="E7" s="17">
        <x:f>ROUND(MAX(0,D7*(1-Assumptions!$B$23)+IF(4&gt;=4,Assumptions!$B$20,0)),0)</x:f>
        <x:v>23</x:v>
      </x:c>
      <x:c r="F7" s="17">
        <x:f>ROUND(MAX(0,E7*(1-Assumptions!$B$23)+IF(5&gt;=4,Assumptions!$B$20,0)),0)</x:f>
        <x:v>23</x:v>
      </x:c>
      <x:c r="G7" s="17">
        <x:f>ROUND(MAX(0,F7*(1-Assumptions!$B$23)+IF(6&gt;=4,Assumptions!$B$20,0)),0)</x:f>
        <x:v>23</x:v>
      </x:c>
      <x:c r="H7" s="17">
        <x:f>ROUND(MAX(0,G7*(1-Assumptions!$B$23)+IF(7&gt;=4,Assumptions!$B$20,0)),0)</x:f>
        <x:v>23</x:v>
      </x:c>
      <x:c r="I7" s="17">
        <x:f>ROUND(MAX(0,H7*(1-Assumptions!$B$23)+IF(8&gt;=4,Assumptions!$B$20,0)),0)</x:f>
        <x:v>23</x:v>
      </x:c>
      <x:c r="J7" s="17">
        <x:f>ROUND(MAX(0,I7*(1-Assumptions!$B$23)+IF(9&gt;=4,Assumptions!$B$20,0)),0)</x:f>
        <x:v>23</x:v>
      </x:c>
      <x:c r="K7" s="17">
        <x:f>ROUND(MAX(0,J7*(1-Assumptions!$B$23)+IF(10&gt;=4,Assumptions!$B$20,0)),0)</x:f>
        <x:v>23</x:v>
      </x:c>
      <x:c r="L7" s="17">
        <x:f>ROUND(MAX(0,K7*(1-Assumptions!$B$23)+IF(11&gt;=4,Assumptions!$B$20,0)),0)</x:f>
        <x:v>23</x:v>
      </x:c>
      <x:c r="M7" s="17">
        <x:f>ROUND(MAX(0,L7*(1-Assumptions!$B$23)+IF(12&gt;=4,Assumptions!$B$20,0)),0)</x:f>
        <x:v>23</x:v>
      </x:c>
      <x:c r="N7" s="17">
        <x:f>ROUND(MAX(0,M7*(1-Assumptions!$B$23)+IF(13&gt;=4,Assumptions!$B$20,0)),0)</x:f>
        <x:v>23</x:v>
      </x:c>
      <x:c r="O7" s="17">
        <x:f>ROUND(MAX(0,N7*(1-Assumptions!$B$23)+IF(14&gt;=4,Assumptions!$B$20,0)),0)</x:f>
        <x:v>23</x:v>
      </x:c>
      <x:c r="P7" s="17">
        <x:f>ROUND(MAX(0,O7*(1-Assumptions!$B$23)+IF(15&gt;=4,Assumptions!$B$20,0)),0)</x:f>
        <x:v>23</x:v>
      </x:c>
      <x:c r="Q7" s="17">
        <x:f>ROUND(MAX(0,P7*(1-Assumptions!$B$23)+IF(16&gt;=4,Assumptions!$B$20,0)),0)</x:f>
        <x:v>23</x:v>
      </x:c>
      <x:c r="R7" s="17">
        <x:f>ROUND(MAX(0,Q7*(1-Assumptions!$B$23)+IF(17&gt;=4,Assumptions!$B$20,0)),0)</x:f>
        <x:v>23</x:v>
      </x:c>
      <x:c r="S7" s="17">
        <x:f>ROUND(MAX(0,R7*(1-Assumptions!$B$23)+IF(18&gt;=4,Assumptions!$B$20,0)),0)</x:f>
        <x:v>23</x:v>
      </x:c>
      <x:c r="T7" s="17">
        <x:f>ROUND(MAX(0,S7*(1-Assumptions!$B$23)+IF(19&gt;=4,Assumptions!$B$20,0)),0)</x:f>
        <x:v>23</x:v>
      </x:c>
      <x:c r="U7" s="17">
        <x:f>ROUND(MAX(0,T7*(1-Assumptions!$B$23)+IF(20&gt;=4,Assumptions!$B$20,0)),0)</x:f>
        <x:v>23</x:v>
      </x:c>
      <x:c r="V7" s="17">
        <x:f>ROUND(MAX(0,U7*(1-Assumptions!$B$23)+IF(21&gt;=4,Assumptions!$B$20,0)),0)</x:f>
        <x:v>23</x:v>
      </x:c>
      <x:c r="W7" s="17">
        <x:f>ROUND(MAX(0,V7*(1-Assumptions!$B$23)+IF(22&gt;=4,Assumptions!$B$20,0)),0)</x:f>
        <x:v>23</x:v>
      </x:c>
      <x:c r="X7" s="17">
        <x:f>ROUND(MAX(0,W7*(1-Assumptions!$B$23)+IF(23&gt;=4,Assumptions!$B$20,0)),0)</x:f>
        <x:v>23</x:v>
      </x:c>
      <x:c r="Y7" s="17">
        <x:f>ROUND(MAX(0,X7*(1-Assumptions!$B$23)+IF(24&gt;=4,Assumptions!$B$20,0)),0)</x:f>
        <x:v>23</x:v>
      </x:c>
    </x:row>
    <x:row r="8">
      <x:c r="A8" s="16" t="inlineStr">
        <x:is>
          <x:t xml:space="preserve">Tier C customers (expected)</x:t>
        </x:is>
      </x:c>
      <x:c r="B8" s="41">
        <x:f>IF(1&gt;=7,Assumptions!$B$21,0)</x:f>
        <x:v>0</x:v>
      </x:c>
      <x:c r="C8" s="41">
        <x:f>MAX(0,B8*(1-Assumptions!$B$24)+IF(2&gt;=7,Assumptions!$B$21,0))</x:f>
        <x:v>23</x:v>
      </x:c>
      <x:c r="D8" s="41">
        <x:f>MAX(0,C8*(1-Assumptions!$B$24)+IF(3&gt;=7,Assumptions!$B$21,0))</x:f>
        <x:v>23</x:v>
      </x:c>
      <x:c r="E8" s="41">
        <x:f>MAX(0,D8*(1-Assumptions!$B$24)+IF(4&gt;=7,Assumptions!$B$21,0))</x:f>
        <x:v>23</x:v>
      </x:c>
      <x:c r="F8" s="41">
        <x:f>MAX(0,E8*(1-Assumptions!$B$24)+IF(5&gt;=7,Assumptions!$B$21,0))</x:f>
        <x:v>23</x:v>
      </x:c>
      <x:c r="G8" s="41">
        <x:f>MAX(0,F8*(1-Assumptions!$B$24)+IF(6&gt;=7,Assumptions!$B$21,0))</x:f>
        <x:v>23</x:v>
      </x:c>
      <x:c r="H8" s="41">
        <x:f>MAX(0,G8*(1-Assumptions!$B$24)+IF(7&gt;=7,Assumptions!$B$21,0))</x:f>
        <x:v>23</x:v>
      </x:c>
      <x:c r="I8" s="41">
        <x:f>MAX(0,H8*(1-Assumptions!$B$24)+IF(8&gt;=7,Assumptions!$B$21,0))</x:f>
        <x:v>23</x:v>
      </x:c>
      <x:c r="J8" s="41">
        <x:f>MAX(0,I8*(1-Assumptions!$B$24)+IF(9&gt;=7,Assumptions!$B$21,0))</x:f>
        <x:v>23</x:v>
      </x:c>
      <x:c r="K8" s="41">
        <x:f>MAX(0,J8*(1-Assumptions!$B$24)+IF(10&gt;=7,Assumptions!$B$21,0))</x:f>
        <x:v>23</x:v>
      </x:c>
      <x:c r="L8" s="41">
        <x:f>MAX(0,K8*(1-Assumptions!$B$24)+IF(11&gt;=7,Assumptions!$B$21,0))</x:f>
        <x:v>23</x:v>
      </x:c>
      <x:c r="M8" s="41">
        <x:f>MAX(0,L8*(1-Assumptions!$B$24)+IF(12&gt;=7,Assumptions!$B$21,0))</x:f>
        <x:v>23</x:v>
      </x:c>
      <x:c r="N8" s="41">
        <x:f>MAX(0,M8*(1-Assumptions!$B$24)+IF(13&gt;=7,Assumptions!$B$21,0))</x:f>
        <x:v>23</x:v>
      </x:c>
      <x:c r="O8" s="41">
        <x:f>MAX(0,N8*(1-Assumptions!$B$24)+IF(14&gt;=7,Assumptions!$B$21,0))</x:f>
        <x:v>23</x:v>
      </x:c>
      <x:c r="P8" s="41">
        <x:f>MAX(0,O8*(1-Assumptions!$B$24)+IF(15&gt;=7,Assumptions!$B$21,0))</x:f>
        <x:v>23</x:v>
      </x:c>
      <x:c r="Q8" s="41">
        <x:f>MAX(0,P8*(1-Assumptions!$B$24)+IF(16&gt;=7,Assumptions!$B$21,0))</x:f>
        <x:v>23</x:v>
      </x:c>
      <x:c r="R8" s="41">
        <x:f>MAX(0,Q8*(1-Assumptions!$B$24)+IF(17&gt;=7,Assumptions!$B$21,0))</x:f>
        <x:v>23</x:v>
      </x:c>
      <x:c r="S8" s="41">
        <x:f>MAX(0,R8*(1-Assumptions!$B$24)+IF(18&gt;=7,Assumptions!$B$21,0))</x:f>
        <x:v>23</x:v>
      </x:c>
      <x:c r="T8" s="41">
        <x:f>MAX(0,S8*(1-Assumptions!$B$24)+IF(19&gt;=7,Assumptions!$B$21,0))</x:f>
        <x:v>23</x:v>
      </x:c>
      <x:c r="U8" s="41">
        <x:f>MAX(0,T8*(1-Assumptions!$B$24)+IF(20&gt;=7,Assumptions!$B$21,0))</x:f>
        <x:v>23</x:v>
      </x:c>
      <x:c r="V8" s="41">
        <x:f>MAX(0,U8*(1-Assumptions!$B$24)+IF(21&gt;=7,Assumptions!$B$21,0))</x:f>
        <x:v>23</x:v>
      </x:c>
      <x:c r="W8" s="41">
        <x:f>MAX(0,V8*(1-Assumptions!$B$24)+IF(22&gt;=7,Assumptions!$B$21,0))</x:f>
        <x:v>23</x:v>
      </x:c>
      <x:c r="X8" s="41">
        <x:f>MAX(0,W8*(1-Assumptions!$B$24)+IF(23&gt;=7,Assumptions!$B$21,0))</x:f>
        <x:v>23</x:v>
      </x:c>
      <x:c r="Y8" s="41">
        <x:f>MAX(0,X8*(1-Assumptions!$B$24)+IF(24&gt;=7,Assumptions!$B$21,0))</x:f>
        <x:v>23</x:v>
      </x:c>
    </x:row>
    <x:row r="10">
      <x:c r="A10" s="14" t="inlineStr">
        <x:is>
          <x:t xml:space="preserve">Revenue</x:t>
        </x:is>
      </x:c>
      <x:c r="B10" s="15" t="n"/>
      <x:c r="C10" s="15" t="n"/>
      <x:c r="D10" s="15" t="n"/>
      <x:c r="E10" s="15" t="n"/>
      <x:c r="F10" s="15" t="n"/>
      <x:c r="G10" s="15" t="n"/>
      <x:c r="H10" s="15" t="n"/>
      <x:c r="I10" s="15" t="n"/>
      <x:c r="J10" s="15" t="n"/>
      <x:c r="K10" s="15" t="n"/>
      <x:c r="L10" s="15" t="n"/>
      <x:c r="M10" s="15" t="n"/>
      <x:c r="N10" s="15" t="n"/>
      <x:c r="O10" s="15" t="n"/>
      <x:c r="P10" s="15" t="n"/>
      <x:c r="Q10" s="15" t="n"/>
      <x:c r="R10" s="15" t="n"/>
      <x:c r="S10" s="15" t="n"/>
      <x:c r="T10" s="15" t="n"/>
      <x:c r="U10" s="15" t="n"/>
      <x:c r="V10" s="15" t="n"/>
      <x:c r="W10" s="15" t="n"/>
      <x:c r="X10" s="15" t="n"/>
      <x:c r="Y10" s="15" t="n"/>
    </x:row>
    <x:row r="11">
      <x:c r="A11" s="16" t="inlineStr">
        <x:is>
          <x:t xml:space="preserve">Tier A subscriptions</x:t>
        </x:is>
      </x:c>
      <x:c r="B11" s="18">
        <x:f>B6*Assumptions!$B$10</x:f>
        <x:v>0</x:v>
      </x:c>
      <x:c r="C11" s="18">
        <x:f>C6*Assumptions!$B$10</x:f>
        <x:v>23</x:v>
      </x:c>
      <x:c r="D11" s="18">
        <x:f>D6*Assumptions!$B$10</x:f>
        <x:v>23</x:v>
      </x:c>
      <x:c r="E11" s="18">
        <x:f>E6*Assumptions!$B$10</x:f>
        <x:v>23</x:v>
      </x:c>
      <x:c r="F11" s="18">
        <x:f>F6*Assumptions!$B$10</x:f>
        <x:v>23</x:v>
      </x:c>
      <x:c r="G11" s="18">
        <x:f>G6*Assumptions!$B$10</x:f>
        <x:v>23</x:v>
      </x:c>
      <x:c r="H11" s="18">
        <x:f>H6*Assumptions!$B$10</x:f>
        <x:v>23</x:v>
      </x:c>
      <x:c r="I11" s="18">
        <x:f>I6*Assumptions!$B$10</x:f>
        <x:v>23</x:v>
      </x:c>
      <x:c r="J11" s="18">
        <x:f>J6*Assumptions!$B$10</x:f>
        <x:v>23</x:v>
      </x:c>
      <x:c r="K11" s="18">
        <x:f>K6*Assumptions!$B$10</x:f>
        <x:v>23</x:v>
      </x:c>
      <x:c r="L11" s="18">
        <x:f>L6*Assumptions!$B$10</x:f>
        <x:v>23</x:v>
      </x:c>
      <x:c r="M11" s="18">
        <x:f>M6*Assumptions!$B$10</x:f>
        <x:v>23</x:v>
      </x:c>
      <x:c r="N11" s="18">
        <x:f>N6*Assumptions!$B$10</x:f>
        <x:v>23</x:v>
      </x:c>
      <x:c r="O11" s="18">
        <x:f>O6*Assumptions!$B$10</x:f>
        <x:v>23</x:v>
      </x:c>
      <x:c r="P11" s="18">
        <x:f>P6*Assumptions!$B$10</x:f>
        <x:v>23</x:v>
      </x:c>
      <x:c r="Q11" s="18">
        <x:f>Q6*Assumptions!$B$10</x:f>
        <x:v>23</x:v>
      </x:c>
      <x:c r="R11" s="18">
        <x:f>R6*Assumptions!$B$10</x:f>
        <x:v>23</x:v>
      </x:c>
      <x:c r="S11" s="18">
        <x:f>S6*Assumptions!$B$10</x:f>
        <x:v>23</x:v>
      </x:c>
      <x:c r="T11" s="18">
        <x:f>T6*Assumptions!$B$10</x:f>
        <x:v>23</x:v>
      </x:c>
      <x:c r="U11" s="18">
        <x:f>U6*Assumptions!$B$10</x:f>
        <x:v>23</x:v>
      </x:c>
      <x:c r="V11" s="18">
        <x:f>V6*Assumptions!$B$10</x:f>
        <x:v>23</x:v>
      </x:c>
      <x:c r="W11" s="18">
        <x:f>W6*Assumptions!$B$10</x:f>
        <x:v>23</x:v>
      </x:c>
      <x:c r="X11" s="18">
        <x:f>X6*Assumptions!$B$10</x:f>
        <x:v>23</x:v>
      </x:c>
      <x:c r="Y11" s="18">
        <x:f>Y6*Assumptions!$B$10</x:f>
        <x:v>23</x:v>
      </x:c>
    </x:row>
    <x:row r="12">
      <x:c r="A12" s="16" t="inlineStr">
        <x:is>
          <x:t xml:space="preserve">Tier B subscriptions</x:t>
        </x:is>
      </x:c>
      <x:c r="B12" s="18">
        <x:f>B7*Assumptions!$B$11</x:f>
        <x:v>0</x:v>
      </x:c>
      <x:c r="C12" s="18">
        <x:f>C7*Assumptions!$B$11</x:f>
        <x:v>23</x:v>
      </x:c>
      <x:c r="D12" s="18">
        <x:f>D7*Assumptions!$B$11</x:f>
        <x:v>23</x:v>
      </x:c>
      <x:c r="E12" s="18">
        <x:f>E7*Assumptions!$B$11</x:f>
        <x:v>23</x:v>
      </x:c>
      <x:c r="F12" s="18">
        <x:f>F7*Assumptions!$B$11</x:f>
        <x:v>23</x:v>
      </x:c>
      <x:c r="G12" s="18">
        <x:f>G7*Assumptions!$B$11</x:f>
        <x:v>23</x:v>
      </x:c>
      <x:c r="H12" s="18">
        <x:f>H7*Assumptions!$B$11</x:f>
        <x:v>23</x:v>
      </x:c>
      <x:c r="I12" s="18">
        <x:f>I7*Assumptions!$B$11</x:f>
        <x:v>23</x:v>
      </x:c>
      <x:c r="J12" s="18">
        <x:f>J7*Assumptions!$B$11</x:f>
        <x:v>23</x:v>
      </x:c>
      <x:c r="K12" s="18">
        <x:f>K7*Assumptions!$B$11</x:f>
        <x:v>23</x:v>
      </x:c>
      <x:c r="L12" s="18">
        <x:f>L7*Assumptions!$B$11</x:f>
        <x:v>23</x:v>
      </x:c>
      <x:c r="M12" s="18">
        <x:f>M7*Assumptions!$B$11</x:f>
        <x:v>23</x:v>
      </x:c>
      <x:c r="N12" s="18">
        <x:f>N7*Assumptions!$B$11</x:f>
        <x:v>23</x:v>
      </x:c>
      <x:c r="O12" s="18">
        <x:f>O7*Assumptions!$B$11</x:f>
        <x:v>23</x:v>
      </x:c>
      <x:c r="P12" s="18">
        <x:f>P7*Assumptions!$B$11</x:f>
        <x:v>23</x:v>
      </x:c>
      <x:c r="Q12" s="18">
        <x:f>Q7*Assumptions!$B$11</x:f>
        <x:v>23</x:v>
      </x:c>
      <x:c r="R12" s="18">
        <x:f>R7*Assumptions!$B$11</x:f>
        <x:v>23</x:v>
      </x:c>
      <x:c r="S12" s="18">
        <x:f>S7*Assumptions!$B$11</x:f>
        <x:v>23</x:v>
      </x:c>
      <x:c r="T12" s="18">
        <x:f>T7*Assumptions!$B$11</x:f>
        <x:v>23</x:v>
      </x:c>
      <x:c r="U12" s="18">
        <x:f>U7*Assumptions!$B$11</x:f>
        <x:v>23</x:v>
      </x:c>
      <x:c r="V12" s="18">
        <x:f>V7*Assumptions!$B$11</x:f>
        <x:v>23</x:v>
      </x:c>
      <x:c r="W12" s="18">
        <x:f>W7*Assumptions!$B$11</x:f>
        <x:v>23</x:v>
      </x:c>
      <x:c r="X12" s="18">
        <x:f>X7*Assumptions!$B$11</x:f>
        <x:v>23</x:v>
      </x:c>
      <x:c r="Y12" s="18">
        <x:f>Y7*Assumptions!$B$11</x:f>
        <x:v>23</x:v>
      </x:c>
    </x:row>
    <x:row r="13">
      <x:c r="A13" s="16" t="inlineStr">
        <x:is>
          <x:t xml:space="preserve">Tier C maintenance (monthly equiv.)</x:t>
        </x:is>
      </x:c>
      <x:c r="B13" s="18">
        <x:f>B8*Assumptions!$B$17*(Assumptions!$B$12/12)</x:f>
        <x:v>0</x:v>
      </x:c>
      <x:c r="C13" s="18">
        <x:f>C8*Assumptions!$B$17*(Assumptions!$B$12/12)</x:f>
        <x:v>23</x:v>
      </x:c>
      <x:c r="D13" s="18">
        <x:f>D8*Assumptions!$B$17*(Assumptions!$B$12/12)</x:f>
        <x:v>23</x:v>
      </x:c>
      <x:c r="E13" s="18">
        <x:f>E8*Assumptions!$B$17*(Assumptions!$B$12/12)</x:f>
        <x:v>23</x:v>
      </x:c>
      <x:c r="F13" s="18">
        <x:f>F8*Assumptions!$B$17*(Assumptions!$B$12/12)</x:f>
        <x:v>23</x:v>
      </x:c>
      <x:c r="G13" s="18">
        <x:f>G8*Assumptions!$B$17*(Assumptions!$B$12/12)</x:f>
        <x:v>23</x:v>
      </x:c>
      <x:c r="H13" s="18">
        <x:f>H8*Assumptions!$B$17*(Assumptions!$B$12/12)</x:f>
        <x:v>23</x:v>
      </x:c>
      <x:c r="I13" s="18">
        <x:f>I8*Assumptions!$B$17*(Assumptions!$B$12/12)</x:f>
        <x:v>23</x:v>
      </x:c>
      <x:c r="J13" s="18">
        <x:f>J8*Assumptions!$B$17*(Assumptions!$B$12/12)</x:f>
        <x:v>23</x:v>
      </x:c>
      <x:c r="K13" s="18">
        <x:f>K8*Assumptions!$B$17*(Assumptions!$B$12/12)</x:f>
        <x:v>23</x:v>
      </x:c>
      <x:c r="L13" s="18">
        <x:f>L8*Assumptions!$B$17*(Assumptions!$B$12/12)</x:f>
        <x:v>23</x:v>
      </x:c>
      <x:c r="M13" s="18">
        <x:f>M8*Assumptions!$B$17*(Assumptions!$B$12/12)</x:f>
        <x:v>23</x:v>
      </x:c>
      <x:c r="N13" s="18">
        <x:f>N8*Assumptions!$B$17*(Assumptions!$B$12/12)</x:f>
        <x:v>23</x:v>
      </x:c>
      <x:c r="O13" s="18">
        <x:f>O8*Assumptions!$B$17*(Assumptions!$B$12/12)</x:f>
        <x:v>23</x:v>
      </x:c>
      <x:c r="P13" s="18">
        <x:f>P8*Assumptions!$B$17*(Assumptions!$B$12/12)</x:f>
        <x:v>23</x:v>
      </x:c>
      <x:c r="Q13" s="18">
        <x:f>Q8*Assumptions!$B$17*(Assumptions!$B$12/12)</x:f>
        <x:v>23</x:v>
      </x:c>
      <x:c r="R13" s="18">
        <x:f>R8*Assumptions!$B$17*(Assumptions!$B$12/12)</x:f>
        <x:v>23</x:v>
      </x:c>
      <x:c r="S13" s="18">
        <x:f>S8*Assumptions!$B$17*(Assumptions!$B$12/12)</x:f>
        <x:v>23</x:v>
      </x:c>
      <x:c r="T13" s="18">
        <x:f>T8*Assumptions!$B$17*(Assumptions!$B$12/12)</x:f>
        <x:v>23</x:v>
      </x:c>
      <x:c r="U13" s="18">
        <x:f>U8*Assumptions!$B$17*(Assumptions!$B$12/12)</x:f>
        <x:v>23</x:v>
      </x:c>
      <x:c r="V13" s="18">
        <x:f>V8*Assumptions!$B$17*(Assumptions!$B$12/12)</x:f>
        <x:v>23</x:v>
      </x:c>
      <x:c r="W13" s="18">
        <x:f>W8*Assumptions!$B$17*(Assumptions!$B$12/12)</x:f>
        <x:v>23</x:v>
      </x:c>
      <x:c r="X13" s="18">
        <x:f>X8*Assumptions!$B$17*(Assumptions!$B$12/12)</x:f>
        <x:v>23</x:v>
      </x:c>
      <x:c r="Y13" s="18">
        <x:f>Y8*Assumptions!$B$17*(Assumptions!$B$12/12)</x:f>
        <x:v>23</x:v>
      </x:c>
    </x:row>
    <x:row r="14">
      <x:c r="A14" s="16" t="inlineStr">
        <x:is>
          <x:t xml:space="preserve">Tier B setup fees</x:t>
        </x:is>
      </x:c>
      <x:c r="B14" s="18">
        <x:f>IF(1&gt;=4,Assumptions!$B$20,0)*Assumptions!$B$13</x:f>
        <x:v>0</x:v>
      </x:c>
      <x:c r="C14" s="18">
        <x:f>IF(2&gt;=4,Assumptions!$B$20,0)*Assumptions!$B$13</x:f>
        <x:v>0</x:v>
      </x:c>
      <x:c r="D14" s="18">
        <x:f>IF(3&gt;=4,Assumptions!$B$20,0)*Assumptions!$B$13</x:f>
        <x:v>0</x:v>
      </x:c>
      <x:c r="E14" s="18">
        <x:f>IF(4&gt;=4,Assumptions!$B$20,0)*Assumptions!$B$13</x:f>
        <x:v>23</x:v>
      </x:c>
      <x:c r="F14" s="18">
        <x:f>IF(5&gt;=4,Assumptions!$B$20,0)*Assumptions!$B$13</x:f>
        <x:v>23</x:v>
      </x:c>
      <x:c r="G14" s="18">
        <x:f>IF(6&gt;=4,Assumptions!$B$20,0)*Assumptions!$B$13</x:f>
        <x:v>23</x:v>
      </x:c>
      <x:c r="H14" s="18">
        <x:f>IF(7&gt;=4,Assumptions!$B$20,0)*Assumptions!$B$13</x:f>
        <x:v>23</x:v>
      </x:c>
      <x:c r="I14" s="18">
        <x:f>IF(8&gt;=4,Assumptions!$B$20,0)*Assumptions!$B$13</x:f>
        <x:v>23</x:v>
      </x:c>
      <x:c r="J14" s="18">
        <x:f>IF(9&gt;=4,Assumptions!$B$20,0)*Assumptions!$B$13</x:f>
        <x:v>23</x:v>
      </x:c>
      <x:c r="K14" s="18">
        <x:f>IF(10&gt;=4,Assumptions!$B$20,0)*Assumptions!$B$13</x:f>
        <x:v>23</x:v>
      </x:c>
      <x:c r="L14" s="18">
        <x:f>IF(11&gt;=4,Assumptions!$B$20,0)*Assumptions!$B$13</x:f>
        <x:v>23</x:v>
      </x:c>
      <x:c r="M14" s="18">
        <x:f>IF(12&gt;=4,Assumptions!$B$20,0)*Assumptions!$B$13</x:f>
        <x:v>23</x:v>
      </x:c>
      <x:c r="N14" s="18">
        <x:f>IF(13&gt;=4,Assumptions!$B$20,0)*Assumptions!$B$13</x:f>
        <x:v>23</x:v>
      </x:c>
      <x:c r="O14" s="18">
        <x:f>IF(14&gt;=4,Assumptions!$B$20,0)*Assumptions!$B$13</x:f>
        <x:v>23</x:v>
      </x:c>
      <x:c r="P14" s="18">
        <x:f>IF(15&gt;=4,Assumptions!$B$20,0)*Assumptions!$B$13</x:f>
        <x:v>23</x:v>
      </x:c>
      <x:c r="Q14" s="18">
        <x:f>IF(16&gt;=4,Assumptions!$B$20,0)*Assumptions!$B$13</x:f>
        <x:v>23</x:v>
      </x:c>
      <x:c r="R14" s="18">
        <x:f>IF(17&gt;=4,Assumptions!$B$20,0)*Assumptions!$B$13</x:f>
        <x:v>23</x:v>
      </x:c>
      <x:c r="S14" s="18">
        <x:f>IF(18&gt;=4,Assumptions!$B$20,0)*Assumptions!$B$13</x:f>
        <x:v>23</x:v>
      </x:c>
      <x:c r="T14" s="18">
        <x:f>IF(19&gt;=4,Assumptions!$B$20,0)*Assumptions!$B$13</x:f>
        <x:v>23</x:v>
      </x:c>
      <x:c r="U14" s="18">
        <x:f>IF(20&gt;=4,Assumptions!$B$20,0)*Assumptions!$B$13</x:f>
        <x:v>23</x:v>
      </x:c>
      <x:c r="V14" s="18">
        <x:f>IF(21&gt;=4,Assumptions!$B$20,0)*Assumptions!$B$13</x:f>
        <x:v>23</x:v>
      </x:c>
      <x:c r="W14" s="18">
        <x:f>IF(22&gt;=4,Assumptions!$B$20,0)*Assumptions!$B$13</x:f>
        <x:v>23</x:v>
      </x:c>
      <x:c r="X14" s="18">
        <x:f>IF(23&gt;=4,Assumptions!$B$20,0)*Assumptions!$B$13</x:f>
        <x:v>23</x:v>
      </x:c>
      <x:c r="Y14" s="18">
        <x:f>IF(24&gt;=4,Assumptions!$B$20,0)*Assumptions!$B$13</x:f>
        <x:v>23</x:v>
      </x:c>
    </x:row>
    <x:row r="15">
      <x:c r="A15" s="16" t="inlineStr">
        <x:is>
          <x:t xml:space="preserve">Tier C licence + installation (one-off)</x:t>
        </x:is>
      </x:c>
      <x:c r="B15" s="18">
        <x:f>IF(1&gt;=7,Assumptions!$B$21,0)*Assumptions!$B$14</x:f>
        <x:v>0</x:v>
      </x:c>
      <x:c r="C15" s="18">
        <x:f>IF(2&gt;=7,Assumptions!$B$21,0)*Assumptions!$B$14</x:f>
        <x:v>0</x:v>
      </x:c>
      <x:c r="D15" s="18">
        <x:f>IF(3&gt;=7,Assumptions!$B$21,0)*Assumptions!$B$14</x:f>
        <x:v>0</x:v>
      </x:c>
      <x:c r="E15" s="18">
        <x:f>IF(4&gt;=7,Assumptions!$B$21,0)*Assumptions!$B$14</x:f>
        <x:v>0</x:v>
      </x:c>
      <x:c r="F15" s="18">
        <x:f>IF(5&gt;=7,Assumptions!$B$21,0)*Assumptions!$B$14</x:f>
        <x:v>0</x:v>
      </x:c>
      <x:c r="G15" s="18">
        <x:f>IF(6&gt;=7,Assumptions!$B$21,0)*Assumptions!$B$14</x:f>
        <x:v>0</x:v>
      </x:c>
      <x:c r="H15" s="18">
        <x:f>IF(7&gt;=7,Assumptions!$B$21,0)*Assumptions!$B$14</x:f>
        <x:v>23</x:v>
      </x:c>
      <x:c r="I15" s="18">
        <x:f>IF(8&gt;=7,Assumptions!$B$21,0)*Assumptions!$B$14</x:f>
        <x:v>23</x:v>
      </x:c>
      <x:c r="J15" s="18">
        <x:f>IF(9&gt;=7,Assumptions!$B$21,0)*Assumptions!$B$14</x:f>
        <x:v>23</x:v>
      </x:c>
      <x:c r="K15" s="18">
        <x:f>IF(10&gt;=7,Assumptions!$B$21,0)*Assumptions!$B$14</x:f>
        <x:v>23</x:v>
      </x:c>
      <x:c r="L15" s="18">
        <x:f>IF(11&gt;=7,Assumptions!$B$21,0)*Assumptions!$B$14</x:f>
        <x:v>23</x:v>
      </x:c>
      <x:c r="M15" s="18">
        <x:f>IF(12&gt;=7,Assumptions!$B$21,0)*Assumptions!$B$14</x:f>
        <x:v>23</x:v>
      </x:c>
      <x:c r="N15" s="18">
        <x:f>IF(13&gt;=7,Assumptions!$B$21,0)*Assumptions!$B$14</x:f>
        <x:v>23</x:v>
      </x:c>
      <x:c r="O15" s="18">
        <x:f>IF(14&gt;=7,Assumptions!$B$21,0)*Assumptions!$B$14</x:f>
        <x:v>23</x:v>
      </x:c>
      <x:c r="P15" s="18">
        <x:f>IF(15&gt;=7,Assumptions!$B$21,0)*Assumptions!$B$14</x:f>
        <x:v>23</x:v>
      </x:c>
      <x:c r="Q15" s="18">
        <x:f>IF(16&gt;=7,Assumptions!$B$21,0)*Assumptions!$B$14</x:f>
        <x:v>23</x:v>
      </x:c>
      <x:c r="R15" s="18">
        <x:f>IF(17&gt;=7,Assumptions!$B$21,0)*Assumptions!$B$14</x:f>
        <x:v>23</x:v>
      </x:c>
      <x:c r="S15" s="18">
        <x:f>IF(18&gt;=7,Assumptions!$B$21,0)*Assumptions!$B$14</x:f>
        <x:v>23</x:v>
      </x:c>
      <x:c r="T15" s="18">
        <x:f>IF(19&gt;=7,Assumptions!$B$21,0)*Assumptions!$B$14</x:f>
        <x:v>23</x:v>
      </x:c>
      <x:c r="U15" s="18">
        <x:f>IF(20&gt;=7,Assumptions!$B$21,0)*Assumptions!$B$14</x:f>
        <x:v>23</x:v>
      </x:c>
      <x:c r="V15" s="18">
        <x:f>IF(21&gt;=7,Assumptions!$B$21,0)*Assumptions!$B$14</x:f>
        <x:v>23</x:v>
      </x:c>
      <x:c r="W15" s="18">
        <x:f>IF(22&gt;=7,Assumptions!$B$21,0)*Assumptions!$B$14</x:f>
        <x:v>23</x:v>
      </x:c>
      <x:c r="X15" s="18">
        <x:f>IF(23&gt;=7,Assumptions!$B$21,0)*Assumptions!$B$14</x:f>
        <x:v>23</x:v>
      </x:c>
      <x:c r="Y15" s="18">
        <x:f>IF(24&gt;=7,Assumptions!$B$21,0)*Assumptions!$B$14</x:f>
        <x:v>23</x:v>
      </x:c>
    </x:row>
    <x:row r="16">
      <x:c r="A16" s="16" t="inlineStr">
        <x:is>
          <x:t xml:space="preserve">Tier C hardware sales</x:t>
        </x:is>
      </x:c>
      <x:c r="B16" s="18">
        <x:f>IF(1&gt;=7,Assumptions!$B$21,0)*Assumptions!$B$15</x:f>
        <x:v>0</x:v>
      </x:c>
      <x:c r="C16" s="18">
        <x:f>IF(2&gt;=7,Assumptions!$B$21,0)*Assumptions!$B$15</x:f>
        <x:v>0</x:v>
      </x:c>
      <x:c r="D16" s="18">
        <x:f>IF(3&gt;=7,Assumptions!$B$21,0)*Assumptions!$B$15</x:f>
        <x:v>0</x:v>
      </x:c>
      <x:c r="E16" s="18">
        <x:f>IF(4&gt;=7,Assumptions!$B$21,0)*Assumptions!$B$15</x:f>
        <x:v>0</x:v>
      </x:c>
      <x:c r="F16" s="18">
        <x:f>IF(5&gt;=7,Assumptions!$B$21,0)*Assumptions!$B$15</x:f>
        <x:v>0</x:v>
      </x:c>
      <x:c r="G16" s="18">
        <x:f>IF(6&gt;=7,Assumptions!$B$21,0)*Assumptions!$B$15</x:f>
        <x:v>0</x:v>
      </x:c>
      <x:c r="H16" s="18">
        <x:f>IF(7&gt;=7,Assumptions!$B$21,0)*Assumptions!$B$15</x:f>
        <x:v>23</x:v>
      </x:c>
      <x:c r="I16" s="18">
        <x:f>IF(8&gt;=7,Assumptions!$B$21,0)*Assumptions!$B$15</x:f>
        <x:v>23</x:v>
      </x:c>
      <x:c r="J16" s="18">
        <x:f>IF(9&gt;=7,Assumptions!$B$21,0)*Assumptions!$B$15</x:f>
        <x:v>23</x:v>
      </x:c>
      <x:c r="K16" s="18">
        <x:f>IF(10&gt;=7,Assumptions!$B$21,0)*Assumptions!$B$15</x:f>
        <x:v>23</x:v>
      </x:c>
      <x:c r="L16" s="18">
        <x:f>IF(11&gt;=7,Assumptions!$B$21,0)*Assumptions!$B$15</x:f>
        <x:v>23</x:v>
      </x:c>
      <x:c r="M16" s="18">
        <x:f>IF(12&gt;=7,Assumptions!$B$21,0)*Assumptions!$B$15</x:f>
        <x:v>23</x:v>
      </x:c>
      <x:c r="N16" s="18">
        <x:f>IF(13&gt;=7,Assumptions!$B$21,0)*Assumptions!$B$15</x:f>
        <x:v>23</x:v>
      </x:c>
      <x:c r="O16" s="18">
        <x:f>IF(14&gt;=7,Assumptions!$B$21,0)*Assumptions!$B$15</x:f>
        <x:v>23</x:v>
      </x:c>
      <x:c r="P16" s="18">
        <x:f>IF(15&gt;=7,Assumptions!$B$21,0)*Assumptions!$B$15</x:f>
        <x:v>23</x:v>
      </x:c>
      <x:c r="Q16" s="18">
        <x:f>IF(16&gt;=7,Assumptions!$B$21,0)*Assumptions!$B$15</x:f>
        <x:v>23</x:v>
      </x:c>
      <x:c r="R16" s="18">
        <x:f>IF(17&gt;=7,Assumptions!$B$21,0)*Assumptions!$B$15</x:f>
        <x:v>23</x:v>
      </x:c>
      <x:c r="S16" s="18">
        <x:f>IF(18&gt;=7,Assumptions!$B$21,0)*Assumptions!$B$15</x:f>
        <x:v>23</x:v>
      </x:c>
      <x:c r="T16" s="18">
        <x:f>IF(19&gt;=7,Assumptions!$B$21,0)*Assumptions!$B$15</x:f>
        <x:v>23</x:v>
      </x:c>
      <x:c r="U16" s="18">
        <x:f>IF(20&gt;=7,Assumptions!$B$21,0)*Assumptions!$B$15</x:f>
        <x:v>23</x:v>
      </x:c>
      <x:c r="V16" s="18">
        <x:f>IF(21&gt;=7,Assumptions!$B$21,0)*Assumptions!$B$15</x:f>
        <x:v>23</x:v>
      </x:c>
      <x:c r="W16" s="18">
        <x:f>IF(22&gt;=7,Assumptions!$B$21,0)*Assumptions!$B$15</x:f>
        <x:v>23</x:v>
      </x:c>
      <x:c r="X16" s="18">
        <x:f>IF(23&gt;=7,Assumptions!$B$21,0)*Assumptions!$B$15</x:f>
        <x:v>23</x:v>
      </x:c>
      <x:c r="Y16" s="18">
        <x:f>IF(24&gt;=7,Assumptions!$B$21,0)*Assumptions!$B$15</x:f>
        <x:v>23</x:v>
      </x:c>
    </x:row>
    <x:row r="17">
      <x:c r="A17" s="19" t="inlineStr">
        <x:is>
          <x:t xml:space="preserve">Total revenue</x:t>
        </x:is>
      </x:c>
      <x:c r="B17" s="20">
        <x:f>SUM(B11:B16)</x:f>
        <x:v>0</x:v>
      </x:c>
      <x:c r="C17" s="20">
        <x:f>SUM(C11:C16)</x:f>
        <x:v>0</x:v>
      </x:c>
      <x:c r="D17" s="20">
        <x:f>SUM(D11:D16)</x:f>
        <x:v>0</x:v>
      </x:c>
      <x:c r="E17" s="20">
        <x:f>SUM(E11:E16)</x:f>
        <x:v>0</x:v>
      </x:c>
      <x:c r="F17" s="20">
        <x:f>SUM(F11:F16)</x:f>
        <x:v>0</x:v>
      </x:c>
      <x:c r="G17" s="20">
        <x:f>SUM(G11:G16)</x:f>
        <x:v>0</x:v>
      </x:c>
      <x:c r="H17" s="20">
        <x:f>SUM(H11:H16)</x:f>
        <x:v>0</x:v>
      </x:c>
      <x:c r="I17" s="20">
        <x:f>SUM(I11:I16)</x:f>
        <x:v>0</x:v>
      </x:c>
      <x:c r="J17" s="20">
        <x:f>SUM(J11:J16)</x:f>
        <x:v>0</x:v>
      </x:c>
      <x:c r="K17" s="20">
        <x:f>SUM(K11:K16)</x:f>
        <x:v>0</x:v>
      </x:c>
      <x:c r="L17" s="20">
        <x:f>SUM(L11:L16)</x:f>
        <x:v>0</x:v>
      </x:c>
      <x:c r="M17" s="20">
        <x:f>SUM(M11:M16)</x:f>
        <x:v>0</x:v>
      </x:c>
      <x:c r="N17" s="20">
        <x:f>SUM(N11:N16)</x:f>
        <x:v>0</x:v>
      </x:c>
      <x:c r="O17" s="20">
        <x:f>SUM(O11:O16)</x:f>
        <x:v>0</x:v>
      </x:c>
      <x:c r="P17" s="20">
        <x:f>SUM(P11:P16)</x:f>
        <x:v>0</x:v>
      </x:c>
      <x:c r="Q17" s="20">
        <x:f>SUM(Q11:Q16)</x:f>
        <x:v>0</x:v>
      </x:c>
      <x:c r="R17" s="20">
        <x:f>SUM(R11:R16)</x:f>
        <x:v>0</x:v>
      </x:c>
      <x:c r="S17" s="20">
        <x:f>SUM(S11:S16)</x:f>
        <x:v>0</x:v>
      </x:c>
      <x:c r="T17" s="20">
        <x:f>SUM(T11:T16)</x:f>
        <x:v>0</x:v>
      </x:c>
      <x:c r="U17" s="20">
        <x:f>SUM(U11:U16)</x:f>
        <x:v>0</x:v>
      </x:c>
      <x:c r="V17" s="20">
        <x:f>SUM(V11:V16)</x:f>
        <x:v>0</x:v>
      </x:c>
      <x:c r="W17" s="20">
        <x:f>SUM(W11:W16)</x:f>
        <x:v>0</x:v>
      </x:c>
      <x:c r="X17" s="20">
        <x:f>SUM(X11:X16)</x:f>
        <x:v>0</x:v>
      </x:c>
      <x:c r="Y17" s="20">
        <x:f>SUM(Y11:Y16)</x:f>
        <x:v>0</x:v>
      </x:c>
    </x:row>
    <x:row r="18"/>
    <x:row r="19">
      <x:c r="A19" s="14" t="inlineStr">
        <x:is>
          <x:t xml:space="preserve">Cost of sales</x:t>
        </x:is>
      </x:c>
      <x:c r="B19" s="15" t="n"/>
      <x:c r="C19" s="15" t="n"/>
      <x:c r="D19" s="15" t="n"/>
      <x:c r="E19" s="15" t="n"/>
      <x:c r="F19" s="15" t="n"/>
      <x:c r="G19" s="15" t="n"/>
      <x:c r="H19" s="15" t="n"/>
      <x:c r="I19" s="15" t="n"/>
      <x:c r="J19" s="15" t="n"/>
      <x:c r="K19" s="15" t="n"/>
      <x:c r="L19" s="15" t="n"/>
      <x:c r="M19" s="15" t="n"/>
      <x:c r="N19" s="15" t="n"/>
      <x:c r="O19" s="15" t="n"/>
      <x:c r="P19" s="15" t="n"/>
      <x:c r="Q19" s="15" t="n"/>
      <x:c r="R19" s="15" t="n"/>
      <x:c r="S19" s="15" t="n"/>
      <x:c r="T19" s="15" t="n"/>
      <x:c r="U19" s="15" t="n"/>
      <x:c r="V19" s="15" t="n"/>
      <x:c r="W19" s="15" t="n"/>
      <x:c r="X19" s="15" t="n"/>
      <x:c r="Y19" s="15" t="n"/>
    </x:row>
    <x:row r="20">
      <x:c r="A20" s="16" t="inlineStr">
        <x:is>
          <x:t xml:space="preserve">Hosting &amp; tooling</x:t>
        </x:is>
      </x:c>
      <x:c r="B20" s="18">
        <x:f>B6*Assumptions!$B$28+B7*Assumptions!$B$29+(B8*Assumptions!$B$17*Assumptions!$B$30)</x:f>
        <x:v>0</x:v>
      </x:c>
      <x:c r="C20" s="18">
        <x:f>C6*Assumptions!$B$28+C7*Assumptions!$B$29+(C8*Assumptions!$B$17*Assumptions!$B$30)</x:f>
        <x:v>23</x:v>
      </x:c>
      <x:c r="D20" s="18">
        <x:f>D6*Assumptions!$B$28+D7*Assumptions!$B$29+(D8*Assumptions!$B$17*Assumptions!$B$30)</x:f>
        <x:v>23</x:v>
      </x:c>
      <x:c r="E20" s="18">
        <x:f>E6*Assumptions!$B$28+E7*Assumptions!$B$29+(E8*Assumptions!$B$17*Assumptions!$B$30)</x:f>
        <x:v>23</x:v>
      </x:c>
      <x:c r="F20" s="18">
        <x:f>F6*Assumptions!$B$28+F7*Assumptions!$B$29+(F8*Assumptions!$B$17*Assumptions!$B$30)</x:f>
        <x:v>23</x:v>
      </x:c>
      <x:c r="G20" s="18">
        <x:f>G6*Assumptions!$B$28+G7*Assumptions!$B$29+(G8*Assumptions!$B$17*Assumptions!$B$30)</x:f>
        <x:v>23</x:v>
      </x:c>
      <x:c r="H20" s="18">
        <x:f>H6*Assumptions!$B$28+H7*Assumptions!$B$29+(H8*Assumptions!$B$17*Assumptions!$B$30)</x:f>
        <x:v>23</x:v>
      </x:c>
      <x:c r="I20" s="18">
        <x:f>I6*Assumptions!$B$28+I7*Assumptions!$B$29+(I8*Assumptions!$B$17*Assumptions!$B$30)</x:f>
        <x:v>23</x:v>
      </x:c>
      <x:c r="J20" s="18">
        <x:f>J6*Assumptions!$B$28+J7*Assumptions!$B$29+(J8*Assumptions!$B$17*Assumptions!$B$30)</x:f>
        <x:v>23</x:v>
      </x:c>
      <x:c r="K20" s="18">
        <x:f>K6*Assumptions!$B$28+K7*Assumptions!$B$29+(K8*Assumptions!$B$17*Assumptions!$B$30)</x:f>
        <x:v>23</x:v>
      </x:c>
      <x:c r="L20" s="18">
        <x:f>L6*Assumptions!$B$28+L7*Assumptions!$B$29+(L8*Assumptions!$B$17*Assumptions!$B$30)</x:f>
        <x:v>23</x:v>
      </x:c>
      <x:c r="M20" s="18">
        <x:f>M6*Assumptions!$B$28+M7*Assumptions!$B$29+(M8*Assumptions!$B$17*Assumptions!$B$30)</x:f>
        <x:v>23</x:v>
      </x:c>
      <x:c r="N20" s="18">
        <x:f>N6*Assumptions!$B$28+N7*Assumptions!$B$29+(N8*Assumptions!$B$17*Assumptions!$B$30)</x:f>
        <x:v>23</x:v>
      </x:c>
      <x:c r="O20" s="18">
        <x:f>O6*Assumptions!$B$28+O7*Assumptions!$B$29+(O8*Assumptions!$B$17*Assumptions!$B$30)</x:f>
        <x:v>23</x:v>
      </x:c>
      <x:c r="P20" s="18">
        <x:f>P6*Assumptions!$B$28+P7*Assumptions!$B$29+(P8*Assumptions!$B$17*Assumptions!$B$30)</x:f>
        <x:v>23</x:v>
      </x:c>
      <x:c r="Q20" s="18">
        <x:f>Q6*Assumptions!$B$28+Q7*Assumptions!$B$29+(Q8*Assumptions!$B$17*Assumptions!$B$30)</x:f>
        <x:v>23</x:v>
      </x:c>
      <x:c r="R20" s="18">
        <x:f>R6*Assumptions!$B$28+R7*Assumptions!$B$29+(R8*Assumptions!$B$17*Assumptions!$B$30)</x:f>
        <x:v>23</x:v>
      </x:c>
      <x:c r="S20" s="18">
        <x:f>S6*Assumptions!$B$28+S7*Assumptions!$B$29+(S8*Assumptions!$B$17*Assumptions!$B$30)</x:f>
        <x:v>23</x:v>
      </x:c>
      <x:c r="T20" s="18">
        <x:f>T6*Assumptions!$B$28+T7*Assumptions!$B$29+(T8*Assumptions!$B$17*Assumptions!$B$30)</x:f>
        <x:v>23</x:v>
      </x:c>
      <x:c r="U20" s="18">
        <x:f>U6*Assumptions!$B$28+U7*Assumptions!$B$29+(U8*Assumptions!$B$17*Assumptions!$B$30)</x:f>
        <x:v>23</x:v>
      </x:c>
      <x:c r="V20" s="18">
        <x:f>V6*Assumptions!$B$28+V7*Assumptions!$B$29+(V8*Assumptions!$B$17*Assumptions!$B$30)</x:f>
        <x:v>23</x:v>
      </x:c>
      <x:c r="W20" s="18">
        <x:f>W6*Assumptions!$B$28+W7*Assumptions!$B$29+(W8*Assumptions!$B$17*Assumptions!$B$30)</x:f>
        <x:v>23</x:v>
      </x:c>
      <x:c r="X20" s="18">
        <x:f>X6*Assumptions!$B$28+X7*Assumptions!$B$29+(X8*Assumptions!$B$17*Assumptions!$B$30)</x:f>
        <x:v>23</x:v>
      </x:c>
      <x:c r="Y20" s="18">
        <x:f>Y6*Assumptions!$B$28+Y7*Assumptions!$B$29+(Y8*Assumptions!$B$17*Assumptions!$B$30)</x:f>
        <x:v>23</x:v>
      </x:c>
    </x:row>
    <x:row r="21">
      <x:c r="A21" s="16" t="inlineStr">
        <x:is>
          <x:t xml:space="preserve">Tier C hardware cost</x:t>
        </x:is>
      </x:c>
      <x:c r="B21" s="18">
        <x:f>IF(1&gt;=7,Assumptions!$B$21,0)*Assumptions!$B$16</x:f>
        <x:v>0</x:v>
      </x:c>
      <x:c r="C21" s="18">
        <x:f>IF(2&gt;=7,Assumptions!$B$21,0)*Assumptions!$B$16</x:f>
        <x:v>0</x:v>
      </x:c>
      <x:c r="D21" s="18">
        <x:f>IF(3&gt;=7,Assumptions!$B$21,0)*Assumptions!$B$16</x:f>
        <x:v>0</x:v>
      </x:c>
      <x:c r="E21" s="18">
        <x:f>IF(4&gt;=7,Assumptions!$B$21,0)*Assumptions!$B$16</x:f>
        <x:v>0</x:v>
      </x:c>
      <x:c r="F21" s="18">
        <x:f>IF(5&gt;=7,Assumptions!$B$21,0)*Assumptions!$B$16</x:f>
        <x:v>0</x:v>
      </x:c>
      <x:c r="G21" s="18">
        <x:f>IF(6&gt;=7,Assumptions!$B$21,0)*Assumptions!$B$16</x:f>
        <x:v>0</x:v>
      </x:c>
      <x:c r="H21" s="18">
        <x:f>IF(7&gt;=7,Assumptions!$B$21,0)*Assumptions!$B$16</x:f>
        <x:v>23</x:v>
      </x:c>
      <x:c r="I21" s="18">
        <x:f>IF(8&gt;=7,Assumptions!$B$21,0)*Assumptions!$B$16</x:f>
        <x:v>23</x:v>
      </x:c>
      <x:c r="J21" s="18">
        <x:f>IF(9&gt;=7,Assumptions!$B$21,0)*Assumptions!$B$16</x:f>
        <x:v>23</x:v>
      </x:c>
      <x:c r="K21" s="18">
        <x:f>IF(10&gt;=7,Assumptions!$B$21,0)*Assumptions!$B$16</x:f>
        <x:v>23</x:v>
      </x:c>
      <x:c r="L21" s="18">
        <x:f>IF(11&gt;=7,Assumptions!$B$21,0)*Assumptions!$B$16</x:f>
        <x:v>23</x:v>
      </x:c>
      <x:c r="M21" s="18">
        <x:f>IF(12&gt;=7,Assumptions!$B$21,0)*Assumptions!$B$16</x:f>
        <x:v>23</x:v>
      </x:c>
      <x:c r="N21" s="18">
        <x:f>IF(13&gt;=7,Assumptions!$B$21,0)*Assumptions!$B$16</x:f>
        <x:v>23</x:v>
      </x:c>
      <x:c r="O21" s="18">
        <x:f>IF(14&gt;=7,Assumptions!$B$21,0)*Assumptions!$B$16</x:f>
        <x:v>23</x:v>
      </x:c>
      <x:c r="P21" s="18">
        <x:f>IF(15&gt;=7,Assumptions!$B$21,0)*Assumptions!$B$16</x:f>
        <x:v>23</x:v>
      </x:c>
      <x:c r="Q21" s="18">
        <x:f>IF(16&gt;=7,Assumptions!$B$21,0)*Assumptions!$B$16</x:f>
        <x:v>23</x:v>
      </x:c>
      <x:c r="R21" s="18">
        <x:f>IF(17&gt;=7,Assumptions!$B$21,0)*Assumptions!$B$16</x:f>
        <x:v>23</x:v>
      </x:c>
      <x:c r="S21" s="18">
        <x:f>IF(18&gt;=7,Assumptions!$B$21,0)*Assumptions!$B$16</x:f>
        <x:v>23</x:v>
      </x:c>
      <x:c r="T21" s="18">
        <x:f>IF(19&gt;=7,Assumptions!$B$21,0)*Assumptions!$B$16</x:f>
        <x:v>23</x:v>
      </x:c>
      <x:c r="U21" s="18">
        <x:f>IF(20&gt;=7,Assumptions!$B$21,0)*Assumptions!$B$16</x:f>
        <x:v>23</x:v>
      </x:c>
      <x:c r="V21" s="18">
        <x:f>IF(21&gt;=7,Assumptions!$B$21,0)*Assumptions!$B$16</x:f>
        <x:v>23</x:v>
      </x:c>
      <x:c r="W21" s="18">
        <x:f>IF(22&gt;=7,Assumptions!$B$21,0)*Assumptions!$B$16</x:f>
        <x:v>23</x:v>
      </x:c>
      <x:c r="X21" s="18">
        <x:f>IF(23&gt;=7,Assumptions!$B$21,0)*Assumptions!$B$16</x:f>
        <x:v>23</x:v>
      </x:c>
      <x:c r="Y21" s="18">
        <x:f>IF(24&gt;=7,Assumptions!$B$21,0)*Assumptions!$B$16</x:f>
        <x:v>23</x:v>
      </x:c>
    </x:row>
    <x:row r="22">
      <x:c r="A22" s="16" t="inlineStr">
        <x:is>
          <x:t xml:space="preserve">Payment processing fees</x:t>
        </x:is>
      </x:c>
      <x:c r="B22" s="18">
        <x:f>B17*Assumptions!$B$35</x:f>
        <x:v>0</x:v>
      </x:c>
      <x:c r="C22" s="18">
        <x:f>C17*Assumptions!$B$35</x:f>
        <x:v>0</x:v>
      </x:c>
      <x:c r="D22" s="18">
        <x:f>D17*Assumptions!$B$35</x:f>
        <x:v>0</x:v>
      </x:c>
      <x:c r="E22" s="18">
        <x:f>E17*Assumptions!$B$35</x:f>
        <x:v>0</x:v>
      </x:c>
      <x:c r="F22" s="18">
        <x:f>F17*Assumptions!$B$35</x:f>
        <x:v>0</x:v>
      </x:c>
      <x:c r="G22" s="18">
        <x:f>G17*Assumptions!$B$35</x:f>
        <x:v>0</x:v>
      </x:c>
      <x:c r="H22" s="18">
        <x:f>H17*Assumptions!$B$35</x:f>
        <x:v>0</x:v>
      </x:c>
      <x:c r="I22" s="18">
        <x:f>I17*Assumptions!$B$35</x:f>
        <x:v>0</x:v>
      </x:c>
      <x:c r="J22" s="18">
        <x:f>J17*Assumptions!$B$35</x:f>
        <x:v>0</x:v>
      </x:c>
      <x:c r="K22" s="18">
        <x:f>K17*Assumptions!$B$35</x:f>
        <x:v>0</x:v>
      </x:c>
      <x:c r="L22" s="18">
        <x:f>L17*Assumptions!$B$35</x:f>
        <x:v>0</x:v>
      </x:c>
      <x:c r="M22" s="18">
        <x:f>M17*Assumptions!$B$35</x:f>
        <x:v>0</x:v>
      </x:c>
      <x:c r="N22" s="18">
        <x:f>N17*Assumptions!$B$35</x:f>
        <x:v>0</x:v>
      </x:c>
      <x:c r="O22" s="18">
        <x:f>O17*Assumptions!$B$35</x:f>
        <x:v>0</x:v>
      </x:c>
      <x:c r="P22" s="18">
        <x:f>P17*Assumptions!$B$35</x:f>
        <x:v>0</x:v>
      </x:c>
      <x:c r="Q22" s="18">
        <x:f>Q17*Assumptions!$B$35</x:f>
        <x:v>0</x:v>
      </x:c>
      <x:c r="R22" s="18">
        <x:f>R17*Assumptions!$B$35</x:f>
        <x:v>0</x:v>
      </x:c>
      <x:c r="S22" s="18">
        <x:f>S17*Assumptions!$B$35</x:f>
        <x:v>0</x:v>
      </x:c>
      <x:c r="T22" s="18">
        <x:f>T17*Assumptions!$B$35</x:f>
        <x:v>0</x:v>
      </x:c>
      <x:c r="U22" s="18">
        <x:f>U17*Assumptions!$B$35</x:f>
        <x:v>0</x:v>
      </x:c>
      <x:c r="V22" s="18">
        <x:f>V17*Assumptions!$B$35</x:f>
        <x:v>0</x:v>
      </x:c>
      <x:c r="W22" s="18">
        <x:f>W17*Assumptions!$B$35</x:f>
        <x:v>0</x:v>
      </x:c>
      <x:c r="X22" s="18">
        <x:f>X17*Assumptions!$B$35</x:f>
        <x:v>0</x:v>
      </x:c>
      <x:c r="Y22" s="18">
        <x:f>Y17*Assumptions!$B$35</x:f>
        <x:v>0</x:v>
      </x:c>
    </x:row>
    <x:row r="23">
      <x:c r="A23" s="19" t="inlineStr">
        <x:is>
          <x:t xml:space="preserve">Total COGS</x:t>
        </x:is>
      </x:c>
      <x:c r="B23" s="20">
        <x:f>SUM(B20:B22)</x:f>
        <x:v>0</x:v>
      </x:c>
      <x:c r="C23" s="20">
        <x:f>SUM(C20:C22)</x:f>
        <x:v>0</x:v>
      </x:c>
      <x:c r="D23" s="20">
        <x:f>SUM(D20:D22)</x:f>
        <x:v>0</x:v>
      </x:c>
      <x:c r="E23" s="20">
        <x:f>SUM(E20:E22)</x:f>
        <x:v>0</x:v>
      </x:c>
      <x:c r="F23" s="20">
        <x:f>SUM(F20:F22)</x:f>
        <x:v>0</x:v>
      </x:c>
      <x:c r="G23" s="20">
        <x:f>SUM(G20:G22)</x:f>
        <x:v>0</x:v>
      </x:c>
      <x:c r="H23" s="20">
        <x:f>SUM(H20:H22)</x:f>
        <x:v>0</x:v>
      </x:c>
      <x:c r="I23" s="20">
        <x:f>SUM(I20:I22)</x:f>
        <x:v>0</x:v>
      </x:c>
      <x:c r="J23" s="20">
        <x:f>SUM(J20:J22)</x:f>
        <x:v>0</x:v>
      </x:c>
      <x:c r="K23" s="20">
        <x:f>SUM(K20:K22)</x:f>
        <x:v>0</x:v>
      </x:c>
      <x:c r="L23" s="20">
        <x:f>SUM(L20:L22)</x:f>
        <x:v>0</x:v>
      </x:c>
      <x:c r="M23" s="20">
        <x:f>SUM(M20:M22)</x:f>
        <x:v>0</x:v>
      </x:c>
      <x:c r="N23" s="20">
        <x:f>SUM(N20:N22)</x:f>
        <x:v>0</x:v>
      </x:c>
      <x:c r="O23" s="20">
        <x:f>SUM(O20:O22)</x:f>
        <x:v>0</x:v>
      </x:c>
      <x:c r="P23" s="20">
        <x:f>SUM(P20:P22)</x:f>
        <x:v>0</x:v>
      </x:c>
      <x:c r="Q23" s="20">
        <x:f>SUM(Q20:Q22)</x:f>
        <x:v>0</x:v>
      </x:c>
      <x:c r="R23" s="20">
        <x:f>SUM(R20:R22)</x:f>
        <x:v>0</x:v>
      </x:c>
      <x:c r="S23" s="20">
        <x:f>SUM(S20:S22)</x:f>
        <x:v>0</x:v>
      </x:c>
      <x:c r="T23" s="20">
        <x:f>SUM(T20:T22)</x:f>
        <x:v>0</x:v>
      </x:c>
      <x:c r="U23" s="20">
        <x:f>SUM(U20:U22)</x:f>
        <x:v>0</x:v>
      </x:c>
      <x:c r="V23" s="20">
        <x:f>SUM(V20:V22)</x:f>
        <x:v>0</x:v>
      </x:c>
      <x:c r="W23" s="20">
        <x:f>SUM(W20:W22)</x:f>
        <x:v>0</x:v>
      </x:c>
      <x:c r="X23" s="20">
        <x:f>SUM(X20:X22)</x:f>
        <x:v>0</x:v>
      </x:c>
      <x:c r="Y23" s="20">
        <x:f>SUM(Y20:Y22)</x:f>
        <x:v>0</x:v>
      </x:c>
    </x:row>
    <x:row r="24">
      <x:c r="A24" s="19" t="inlineStr">
        <x:is>
          <x:t xml:space="preserve">Gross profit</x:t>
        </x:is>
      </x:c>
      <x:c r="B24" s="20">
        <x:f>B17-B23</x:f>
        <x:v>0</x:v>
      </x:c>
      <x:c r="C24" s="20">
        <x:f>C17-C23</x:f>
        <x:v>0</x:v>
      </x:c>
      <x:c r="D24" s="20">
        <x:f>D17-D23</x:f>
        <x:v>0</x:v>
      </x:c>
      <x:c r="E24" s="20">
        <x:f>E17-E23</x:f>
        <x:v>0</x:v>
      </x:c>
      <x:c r="F24" s="20">
        <x:f>F17-F23</x:f>
        <x:v>0</x:v>
      </x:c>
      <x:c r="G24" s="20">
        <x:f>G17-G23</x:f>
        <x:v>0</x:v>
      </x:c>
      <x:c r="H24" s="20">
        <x:f>H17-H23</x:f>
        <x:v>0</x:v>
      </x:c>
      <x:c r="I24" s="20">
        <x:f>I17-I23</x:f>
        <x:v>0</x:v>
      </x:c>
      <x:c r="J24" s="20">
        <x:f>J17-J23</x:f>
        <x:v>0</x:v>
      </x:c>
      <x:c r="K24" s="20">
        <x:f>K17-K23</x:f>
        <x:v>0</x:v>
      </x:c>
      <x:c r="L24" s="20">
        <x:f>L17-L23</x:f>
        <x:v>0</x:v>
      </x:c>
      <x:c r="M24" s="20">
        <x:f>M17-M23</x:f>
        <x:v>0</x:v>
      </x:c>
      <x:c r="N24" s="20">
        <x:f>N17-N23</x:f>
        <x:v>0</x:v>
      </x:c>
      <x:c r="O24" s="20">
        <x:f>O17-O23</x:f>
        <x:v>0</x:v>
      </x:c>
      <x:c r="P24" s="20">
        <x:f>P17-P23</x:f>
        <x:v>0</x:v>
      </x:c>
      <x:c r="Q24" s="20">
        <x:f>Q17-Q23</x:f>
        <x:v>0</x:v>
      </x:c>
      <x:c r="R24" s="20">
        <x:f>R17-R23</x:f>
        <x:v>0</x:v>
      </x:c>
      <x:c r="S24" s="20">
        <x:f>S17-S23</x:f>
        <x:v>0</x:v>
      </x:c>
      <x:c r="T24" s="20">
        <x:f>T17-T23</x:f>
        <x:v>0</x:v>
      </x:c>
      <x:c r="U24" s="20">
        <x:f>U17-U23</x:f>
        <x:v>0</x:v>
      </x:c>
      <x:c r="V24" s="20">
        <x:f>V17-V23</x:f>
        <x:v>0</x:v>
      </x:c>
      <x:c r="W24" s="20">
        <x:f>W17-W23</x:f>
        <x:v>0</x:v>
      </x:c>
      <x:c r="X24" s="20">
        <x:f>X17-X23</x:f>
        <x:v>0</x:v>
      </x:c>
      <x:c r="Y24" s="20">
        <x:f>Y17-Y23</x:f>
        <x:v>0</x:v>
      </x:c>
    </x:row>
    <x:row r="25"/>
    <x:row r="26">
      <x:c r="A26" s="14" t="inlineStr">
        <x:is>
          <x:t xml:space="preserve">Operating expenses</x:t>
        </x:is>
      </x:c>
      <x:c r="B26" s="15" t="n"/>
      <x:c r="C26" s="15" t="n"/>
      <x:c r="D26" s="15" t="n"/>
      <x:c r="E26" s="15" t="n"/>
      <x:c r="F26" s="15" t="n"/>
      <x:c r="G26" s="15" t="n"/>
      <x:c r="H26" s="15" t="n"/>
      <x:c r="I26" s="15" t="n"/>
      <x:c r="J26" s="15" t="n"/>
      <x:c r="K26" s="15" t="n"/>
      <x:c r="L26" s="15" t="n"/>
      <x:c r="M26" s="15" t="n"/>
      <x:c r="N26" s="15" t="n"/>
      <x:c r="O26" s="15" t="n"/>
      <x:c r="P26" s="15" t="n"/>
      <x:c r="Q26" s="15" t="n"/>
      <x:c r="R26" s="15" t="n"/>
      <x:c r="S26" s="15" t="n"/>
      <x:c r="T26" s="15" t="n"/>
      <x:c r="U26" s="15" t="n"/>
      <x:c r="V26" s="15" t="n"/>
      <x:c r="W26" s="15" t="n"/>
      <x:c r="X26" s="15" t="n"/>
      <x:c r="Y26" s="15" t="n"/>
    </x:row>
    <x:row r="27">
      <x:c r="A27" s="16" t="inlineStr">
        <x:is>
          <x:t xml:space="preserve">Baseline ops</x:t>
        </x:is>
      </x:c>
      <x:c r="B27" s="18">
        <x:f>Assumptions!$B$31</x:f>
        <x:v>350</x:v>
      </x:c>
      <x:c r="C27" s="18">
        <x:f>Assumptions!$B$31</x:f>
        <x:v>350</x:v>
      </x:c>
      <x:c r="D27" s="18">
        <x:f>Assumptions!$B$31</x:f>
        <x:v>350</x:v>
      </x:c>
      <x:c r="E27" s="18">
        <x:f>Assumptions!$B$31</x:f>
        <x:v>350</x:v>
      </x:c>
      <x:c r="F27" s="18">
        <x:f>Assumptions!$B$31</x:f>
        <x:v>350</x:v>
      </x:c>
      <x:c r="G27" s="18">
        <x:f>Assumptions!$B$31</x:f>
        <x:v>350</x:v>
      </x:c>
      <x:c r="H27" s="18">
        <x:f>Assumptions!$B$31</x:f>
        <x:v>350</x:v>
      </x:c>
      <x:c r="I27" s="18">
        <x:f>Assumptions!$B$31</x:f>
        <x:v>350</x:v>
      </x:c>
      <x:c r="J27" s="18">
        <x:f>Assumptions!$B$31</x:f>
        <x:v>350</x:v>
      </x:c>
      <x:c r="K27" s="18">
        <x:f>Assumptions!$B$31</x:f>
        <x:v>350</x:v>
      </x:c>
      <x:c r="L27" s="18">
        <x:f>Assumptions!$B$31</x:f>
        <x:v>350</x:v>
      </x:c>
      <x:c r="M27" s="18">
        <x:f>Assumptions!$B$31</x:f>
        <x:v>350</x:v>
      </x:c>
      <x:c r="N27" s="18">
        <x:f>Assumptions!$B$31</x:f>
        <x:v>350</x:v>
      </x:c>
      <x:c r="O27" s="18">
        <x:f>Assumptions!$B$31</x:f>
        <x:v>350</x:v>
      </x:c>
      <x:c r="P27" s="18">
        <x:f>Assumptions!$B$31</x:f>
        <x:v>350</x:v>
      </x:c>
      <x:c r="Q27" s="18">
        <x:f>Assumptions!$B$31</x:f>
        <x:v>350</x:v>
      </x:c>
      <x:c r="R27" s="18">
        <x:f>Assumptions!$B$31</x:f>
        <x:v>350</x:v>
      </x:c>
      <x:c r="S27" s="18">
        <x:f>Assumptions!$B$31</x:f>
        <x:v>350</x:v>
      </x:c>
      <x:c r="T27" s="18">
        <x:f>Assumptions!$B$31</x:f>
        <x:v>350</x:v>
      </x:c>
      <x:c r="U27" s="18">
        <x:f>Assumptions!$B$31</x:f>
        <x:v>350</x:v>
      </x:c>
      <x:c r="V27" s="18">
        <x:f>Assumptions!$B$31</x:f>
        <x:v>350</x:v>
      </x:c>
      <x:c r="W27" s="18">
        <x:f>Assumptions!$B$31</x:f>
        <x:v>350</x:v>
      </x:c>
      <x:c r="X27" s="18">
        <x:f>Assumptions!$B$31</x:f>
        <x:v>350</x:v>
      </x:c>
      <x:c r="Y27" s="18">
        <x:f>Assumptions!$B$31</x:f>
        <x:v>350</x:v>
      </x:c>
    </x:row>
    <x:row r="28">
      <x:c r="A28" s="16" t="inlineStr">
        <x:is>
          <x:t xml:space="preserve">Freelancer hardening (one-off)</x:t>
        </x:is>
      </x:c>
      <x:c r="B28" s="18">
        <x:f>IF(1=2,Assumptions!$B$27,0)</x:f>
        <x:v>0</x:v>
      </x:c>
      <x:c r="C28" s="18">
        <x:f>IF(2=2,Assumptions!$B$27,0)</x:f>
        <x:v>3000</x:v>
      </x:c>
      <x:c r="D28" s="18">
        <x:f>IF(3=2,Assumptions!$B$27,0)</x:f>
        <x:v>0</x:v>
      </x:c>
      <x:c r="E28" s="18">
        <x:f>IF(4=2,Assumptions!$B$27,0)</x:f>
        <x:v>0</x:v>
      </x:c>
      <x:c r="F28" s="18">
        <x:f>IF(5=2,Assumptions!$B$27,0)</x:f>
        <x:v>0</x:v>
      </x:c>
      <x:c r="G28" s="18">
        <x:f>IF(6=2,Assumptions!$B$27,0)</x:f>
        <x:v>0</x:v>
      </x:c>
      <x:c r="H28" s="18">
        <x:f>IF(7=2,Assumptions!$B$27,0)</x:f>
        <x:v>0</x:v>
      </x:c>
      <x:c r="I28" s="18">
        <x:f>IF(8=2,Assumptions!$B$27,0)</x:f>
        <x:v>0</x:v>
      </x:c>
      <x:c r="J28" s="18">
        <x:f>IF(9=2,Assumptions!$B$27,0)</x:f>
        <x:v>0</x:v>
      </x:c>
      <x:c r="K28" s="18">
        <x:f>IF(10=2,Assumptions!$B$27,0)</x:f>
        <x:v>0</x:v>
      </x:c>
      <x:c r="L28" s="18">
        <x:f>IF(11=2,Assumptions!$B$27,0)</x:f>
        <x:v>0</x:v>
      </x:c>
      <x:c r="M28" s="18">
        <x:f>IF(12=2,Assumptions!$B$27,0)</x:f>
        <x:v>0</x:v>
      </x:c>
      <x:c r="N28" s="18">
        <x:f>IF(13=2,Assumptions!$B$27,0)</x:f>
        <x:v>0</x:v>
      </x:c>
      <x:c r="O28" s="18">
        <x:f>IF(14=2,Assumptions!$B$27,0)</x:f>
        <x:v>0</x:v>
      </x:c>
      <x:c r="P28" s="18">
        <x:f>IF(15=2,Assumptions!$B$27,0)</x:f>
        <x:v>0</x:v>
      </x:c>
      <x:c r="Q28" s="18">
        <x:f>IF(16=2,Assumptions!$B$27,0)</x:f>
        <x:v>0</x:v>
      </x:c>
      <x:c r="R28" s="18">
        <x:f>IF(17=2,Assumptions!$B$27,0)</x:f>
        <x:v>0</x:v>
      </x:c>
      <x:c r="S28" s="18">
        <x:f>IF(18=2,Assumptions!$B$27,0)</x:f>
        <x:v>0</x:v>
      </x:c>
      <x:c r="T28" s="18">
        <x:f>IF(19=2,Assumptions!$B$27,0)</x:f>
        <x:v>0</x:v>
      </x:c>
      <x:c r="U28" s="18">
        <x:f>IF(20=2,Assumptions!$B$27,0)</x:f>
        <x:v>0</x:v>
      </x:c>
      <x:c r="V28" s="18">
        <x:f>IF(21=2,Assumptions!$B$27,0)</x:f>
        <x:v>0</x:v>
      </x:c>
      <x:c r="W28" s="18">
        <x:f>IF(22=2,Assumptions!$B$27,0)</x:f>
        <x:v>0</x:v>
      </x:c>
      <x:c r="X28" s="18">
        <x:f>IF(23=2,Assumptions!$B$27,0)</x:f>
        <x:v>0</x:v>
      </x:c>
      <x:c r="Y28" s="18">
        <x:f>IF(24=2,Assumptions!$B$27,0)</x:f>
        <x:v>0</x:v>
      </x:c>
    </x:row>
    <x:row r="29">
      <x:c r="A29" s="16" t="inlineStr">
        <x:is>
          <x:t xml:space="preserve">Marketing operator</x:t>
        </x:is>
      </x:c>
      <x:c r="B29" s="18" t="str">
        <x:f>IF(1&gt;=Assumptions!$B$33,Assumptions!$B$32,0)</x:f>
        <x:v>Error: #REF!</x:v>
      </x:c>
      <x:c r="C29" s="18" t="str">
        <x:f>IF(2&gt;=Assumptions!$B$33,Assumptions!$B$32,0)</x:f>
        <x:v>Error: #REF!</x:v>
      </x:c>
      <x:c r="D29" s="18" t="str">
        <x:f>IF(3&gt;=Assumptions!$B$33,Assumptions!$B$32,0)</x:f>
        <x:v>Error: #REF!</x:v>
      </x:c>
      <x:c r="E29" s="18" t="str">
        <x:f>IF(4&gt;=Assumptions!$B$33,Assumptions!$B$32,0)</x:f>
        <x:v>Error: #REF!</x:v>
      </x:c>
      <x:c r="F29" s="18" t="str">
        <x:f>IF(5&gt;=Assumptions!$B$33,Assumptions!$B$32,0)</x:f>
        <x:v>Error: #REF!</x:v>
      </x:c>
      <x:c r="G29" s="18" t="str">
        <x:f>IF(6&gt;=Assumptions!$B$33,Assumptions!$B$32,0)</x:f>
        <x:v>Error: #REF!</x:v>
      </x:c>
      <x:c r="H29" s="18" t="str">
        <x:f>IF(7&gt;=Assumptions!$B$33,Assumptions!$B$32,0)</x:f>
        <x:v>Error: #REF!</x:v>
      </x:c>
      <x:c r="I29" s="18" t="str">
        <x:f>IF(8&gt;=Assumptions!$B$33,Assumptions!$B$32,0)</x:f>
        <x:v>Error: #REF!</x:v>
      </x:c>
      <x:c r="J29" s="18" t="str">
        <x:f>IF(9&gt;=Assumptions!$B$33,Assumptions!$B$32,0)</x:f>
        <x:v>Error: #REF!</x:v>
      </x:c>
      <x:c r="K29" s="18" t="str">
        <x:f>IF(10&gt;=Assumptions!$B$33,Assumptions!$B$32,0)</x:f>
        <x:v>Error: #REF!</x:v>
      </x:c>
      <x:c r="L29" s="18" t="str">
        <x:f>IF(11&gt;=Assumptions!$B$33,Assumptions!$B$32,0)</x:f>
        <x:v>Error: #REF!</x:v>
      </x:c>
      <x:c r="M29" s="18" t="str">
        <x:f>IF(12&gt;=Assumptions!$B$33,Assumptions!$B$32,0)</x:f>
        <x:v>Error: #REF!</x:v>
      </x:c>
      <x:c r="N29" s="18" t="str">
        <x:f>IF(13&gt;=Assumptions!$B$33,Assumptions!$B$32,0)</x:f>
        <x:v>Error: #REF!</x:v>
      </x:c>
      <x:c r="O29" s="18" t="str">
        <x:f>IF(14&gt;=Assumptions!$B$33,Assumptions!$B$32,0)</x:f>
        <x:v>Error: #REF!</x:v>
      </x:c>
      <x:c r="P29" s="18" t="str">
        <x:f>IF(15&gt;=Assumptions!$B$33,Assumptions!$B$32,0)</x:f>
        <x:v>Error: #REF!</x:v>
      </x:c>
      <x:c r="Q29" s="18" t="str">
        <x:f>IF(16&gt;=Assumptions!$B$33,Assumptions!$B$32,0)</x:f>
        <x:v>Error: #REF!</x:v>
      </x:c>
      <x:c r="R29" s="18" t="str">
        <x:f>IF(17&gt;=Assumptions!$B$33,Assumptions!$B$32,0)</x:f>
        <x:v>Error: #REF!</x:v>
      </x:c>
      <x:c r="S29" s="18" t="str">
        <x:f>IF(18&gt;=Assumptions!$B$33,Assumptions!$B$32,0)</x:f>
        <x:v>Error: #REF!</x:v>
      </x:c>
      <x:c r="T29" s="18" t="str">
        <x:f>IF(19&gt;=Assumptions!$B$33,Assumptions!$B$32,0)</x:f>
        <x:v>Error: #REF!</x:v>
      </x:c>
      <x:c r="U29" s="18" t="str">
        <x:f>IF(20&gt;=Assumptions!$B$33,Assumptions!$B$32,0)</x:f>
        <x:v>Error: #REF!</x:v>
      </x:c>
      <x:c r="V29" s="18" t="str">
        <x:f>IF(21&gt;=Assumptions!$B$33,Assumptions!$B$32,0)</x:f>
        <x:v>Error: #REF!</x:v>
      </x:c>
      <x:c r="W29" s="18" t="str">
        <x:f>IF(22&gt;=Assumptions!$B$33,Assumptions!$B$32,0)</x:f>
        <x:v>Error: #REF!</x:v>
      </x:c>
      <x:c r="X29" s="18" t="str">
        <x:f>IF(23&gt;=Assumptions!$B$33,Assumptions!$B$32,0)</x:f>
        <x:v>Error: #REF!</x:v>
      </x:c>
      <x:c r="Y29" s="18" t="str">
        <x:f>IF(24&gt;=Assumptions!$B$33,Assumptions!$B$32,0)</x:f>
        <x:v>Error: #REF!</x:v>
      </x:c>
    </x:row>
    <x:row r="30">
      <x:c r="A30" s="16" t="inlineStr">
        <x:is>
          <x:t xml:space="preserve">Founder draw</x:t>
        </x:is>
      </x:c>
      <x:c r="B30" s="18" t="str">
        <x:f>Assumptions!$B$34</x:f>
        <x:v>null</x:v>
      </x:c>
      <x:c r="C30" s="18" t="str">
        <x:f>Assumptions!$B$34</x:f>
        <x:v>null</x:v>
      </x:c>
      <x:c r="D30" s="18" t="str">
        <x:f>Assumptions!$B$34</x:f>
        <x:v>null</x:v>
      </x:c>
      <x:c r="E30" s="18" t="str">
        <x:f>Assumptions!$B$34</x:f>
        <x:v>null</x:v>
      </x:c>
      <x:c r="F30" s="18" t="str">
        <x:f>Assumptions!$B$34</x:f>
        <x:v>null</x:v>
      </x:c>
      <x:c r="G30" s="18" t="str">
        <x:f>Assumptions!$B$34</x:f>
        <x:v>null</x:v>
      </x:c>
      <x:c r="H30" s="18" t="str">
        <x:f>Assumptions!$B$34</x:f>
        <x:v>null</x:v>
      </x:c>
      <x:c r="I30" s="18" t="str">
        <x:f>Assumptions!$B$34</x:f>
        <x:v>null</x:v>
      </x:c>
      <x:c r="J30" s="18" t="str">
        <x:f>Assumptions!$B$34</x:f>
        <x:v>null</x:v>
      </x:c>
      <x:c r="K30" s="18" t="str">
        <x:f>Assumptions!$B$34</x:f>
        <x:v>null</x:v>
      </x:c>
      <x:c r="L30" s="18" t="str">
        <x:f>Assumptions!$B$34</x:f>
        <x:v>null</x:v>
      </x:c>
      <x:c r="M30" s="18" t="str">
        <x:f>Assumptions!$B$34</x:f>
        <x:v>null</x:v>
      </x:c>
      <x:c r="N30" s="18" t="str">
        <x:f>Assumptions!$B$34</x:f>
        <x:v>null</x:v>
      </x:c>
      <x:c r="O30" s="18" t="str">
        <x:f>Assumptions!$B$34</x:f>
        <x:v>null</x:v>
      </x:c>
      <x:c r="P30" s="18" t="str">
        <x:f>Assumptions!$B$34</x:f>
        <x:v>null</x:v>
      </x:c>
      <x:c r="Q30" s="18" t="str">
        <x:f>Assumptions!$B$34</x:f>
        <x:v>null</x:v>
      </x:c>
      <x:c r="R30" s="18" t="str">
        <x:f>Assumptions!$B$34</x:f>
        <x:v>null</x:v>
      </x:c>
      <x:c r="S30" s="18" t="str">
        <x:f>Assumptions!$B$34</x:f>
        <x:v>null</x:v>
      </x:c>
      <x:c r="T30" s="18" t="str">
        <x:f>Assumptions!$B$34</x:f>
        <x:v>null</x:v>
      </x:c>
      <x:c r="U30" s="18" t="str">
        <x:f>Assumptions!$B$34</x:f>
        <x:v>null</x:v>
      </x:c>
      <x:c r="V30" s="18" t="str">
        <x:f>Assumptions!$B$34</x:f>
        <x:v>null</x:v>
      </x:c>
      <x:c r="W30" s="18" t="str">
        <x:f>Assumptions!$B$34</x:f>
        <x:v>null</x:v>
      </x:c>
      <x:c r="X30" s="18" t="str">
        <x:f>Assumptions!$B$34</x:f>
        <x:v>null</x:v>
      </x:c>
      <x:c r="Y30" s="18" t="str">
        <x:f>Assumptions!$B$34</x:f>
        <x:v>null</x:v>
      </x:c>
    </x:row>
    <x:row r="31">
      <x:c r="A31" s="19" t="inlineStr">
        <x:is>
          <x:t xml:space="preserve">Total opex</x:t>
        </x:is>
      </x:c>
      <x:c r="B31" s="20">
        <x:f>SUM(B27:B30)</x:f>
        <x:v>350</x:v>
      </x:c>
      <x:c r="C31" s="20">
        <x:f>SUM(C27:C30)</x:f>
        <x:v>3350</x:v>
      </x:c>
      <x:c r="D31" s="20">
        <x:f>SUM(D27:D30)</x:f>
        <x:v>350</x:v>
      </x:c>
      <x:c r="E31" s="20">
        <x:f>SUM(E27:E30)</x:f>
        <x:v>350</x:v>
      </x:c>
      <x:c r="F31" s="20">
        <x:f>SUM(F27:F30)</x:f>
        <x:v>350</x:v>
      </x:c>
      <x:c r="G31" s="20">
        <x:f>SUM(G27:G30)</x:f>
        <x:v>350</x:v>
      </x:c>
      <x:c r="H31" s="20">
        <x:f>SUM(H27:H30)</x:f>
        <x:v>350</x:v>
      </x:c>
      <x:c r="I31" s="20">
        <x:f>SUM(I27:I30)</x:f>
        <x:v>350</x:v>
      </x:c>
      <x:c r="J31" s="20">
        <x:f>SUM(J27:J30)</x:f>
        <x:v>350</x:v>
      </x:c>
      <x:c r="K31" s="20">
        <x:f>SUM(K27:K30)</x:f>
        <x:v>350</x:v>
      </x:c>
      <x:c r="L31" s="20">
        <x:f>SUM(L27:L30)</x:f>
        <x:v>350</x:v>
      </x:c>
      <x:c r="M31" s="20">
        <x:f>SUM(M27:M30)</x:f>
        <x:v>350</x:v>
      </x:c>
      <x:c r="N31" s="20">
        <x:f>SUM(N27:N30)</x:f>
        <x:v>350</x:v>
      </x:c>
      <x:c r="O31" s="20">
        <x:f>SUM(O27:O30)</x:f>
        <x:v>350</x:v>
      </x:c>
      <x:c r="P31" s="20">
        <x:f>SUM(P27:P30)</x:f>
        <x:v>350</x:v>
      </x:c>
      <x:c r="Q31" s="20">
        <x:f>SUM(Q27:Q30)</x:f>
        <x:v>350</x:v>
      </x:c>
      <x:c r="R31" s="20">
        <x:f>SUM(R27:R30)</x:f>
        <x:v>350</x:v>
      </x:c>
      <x:c r="S31" s="20">
        <x:f>SUM(S27:S30)</x:f>
        <x:v>350</x:v>
      </x:c>
      <x:c r="T31" s="20">
        <x:f>SUM(T27:T30)</x:f>
        <x:v>350</x:v>
      </x:c>
      <x:c r="U31" s="20">
        <x:f>SUM(U27:U30)</x:f>
        <x:v>350</x:v>
      </x:c>
      <x:c r="V31" s="20">
        <x:f>SUM(V27:V30)</x:f>
        <x:v>350</x:v>
      </x:c>
      <x:c r="W31" s="20">
        <x:f>SUM(W27:W30)</x:f>
        <x:v>350</x:v>
      </x:c>
      <x:c r="X31" s="20">
        <x:f>SUM(X27:X30)</x:f>
        <x:v>350</x:v>
      </x:c>
      <x:c r="Y31" s="20">
        <x:f>SUM(Y27:Y30)</x:f>
        <x:v>350</x:v>
      </x:c>
    </x:row>
    <x:row r="32">
      <x:c r="A32" s="19" t="inlineStr">
        <x:is>
          <x:t xml:space="preserve">Net profit / (loss)</x:t>
        </x:is>
      </x:c>
      <x:c r="B32" s="20">
        <x:f>B24-B31</x:f>
        <x:v>-350</x:v>
      </x:c>
      <x:c r="C32" s="20">
        <x:f>C24-C31</x:f>
        <x:v>-3350</x:v>
      </x:c>
      <x:c r="D32" s="20">
        <x:f>D24-D31</x:f>
        <x:v>-350</x:v>
      </x:c>
      <x:c r="E32" s="20">
        <x:f>E24-E31</x:f>
        <x:v>-350</x:v>
      </x:c>
      <x:c r="F32" s="20">
        <x:f>F24-F31</x:f>
        <x:v>-350</x:v>
      </x:c>
      <x:c r="G32" s="20">
        <x:f>G24-G31</x:f>
        <x:v>-350</x:v>
      </x:c>
      <x:c r="H32" s="20">
        <x:f>H24-H31</x:f>
        <x:v>-350</x:v>
      </x:c>
      <x:c r="I32" s="20">
        <x:f>I24-I31</x:f>
        <x:v>-350</x:v>
      </x:c>
      <x:c r="J32" s="20">
        <x:f>J24-J31</x:f>
        <x:v>-350</x:v>
      </x:c>
      <x:c r="K32" s="20">
        <x:f>K24-K31</x:f>
        <x:v>-350</x:v>
      </x:c>
      <x:c r="L32" s="20">
        <x:f>L24-L31</x:f>
        <x:v>-350</x:v>
      </x:c>
      <x:c r="M32" s="20">
        <x:f>M24-M31</x:f>
        <x:v>-350</x:v>
      </x:c>
      <x:c r="N32" s="20">
        <x:f>N24-N31</x:f>
        <x:v>-350</x:v>
      </x:c>
      <x:c r="O32" s="20">
        <x:f>O24-O31</x:f>
        <x:v>-350</x:v>
      </x:c>
      <x:c r="P32" s="20">
        <x:f>P24-P31</x:f>
        <x:v>-350</x:v>
      </x:c>
      <x:c r="Q32" s="20">
        <x:f>Q24-Q31</x:f>
        <x:v>-350</x:v>
      </x:c>
      <x:c r="R32" s="20">
        <x:f>R24-R31</x:f>
        <x:v>-350</x:v>
      </x:c>
      <x:c r="S32" s="20">
        <x:f>S24-S31</x:f>
        <x:v>-350</x:v>
      </x:c>
      <x:c r="T32" s="20">
        <x:f>T24-T31</x:f>
        <x:v>-350</x:v>
      </x:c>
      <x:c r="U32" s="20">
        <x:f>U24-U31</x:f>
        <x:v>-350</x:v>
      </x:c>
      <x:c r="V32" s="20">
        <x:f>V24-V31</x:f>
        <x:v>-350</x:v>
      </x:c>
      <x:c r="W32" s="20">
        <x:f>W24-W31</x:f>
        <x:v>-350</x:v>
      </x:c>
      <x:c r="X32" s="20">
        <x:f>X24-X31</x:f>
        <x:v>-350</x:v>
      </x:c>
      <x:c r="Y32" s="20">
        <x:f>Y24-Y31</x:f>
        <x:v>-350</x:v>
      </x:c>
    </x:row>
    <x:row r="33"/>
    <x:row r="34"/>
    <x:row r="35"/>
    <x:row r="36"/>
    <x:row r="37"/>
    <x:row r="38"/>
    <x:row r="39"/>
    <x:row r="4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</x:cols>
  <x:sheetData>
    <x:row r="1">
      <x:c r="A1" s="1" t="inlineStr">
        <x:is>
          <x:t xml:space="preserve">Cashflow — Monthly (GBP, speculative) — Kastel Stack</x:t>
        </x:is>
      </x:c>
    </x:row>
    <x:row r="2">
      <x:c r="A2" s="2" t="inlineStr">
        <x:is>
          <x:t xml:space="preserve">Simplification: receipts and payments occur in-month (no working capital timing).</x:t>
        </x:is>
      </x:c>
    </x:row>
    <x:row r="4">
      <x:c r="A4" s="12" t="inlineStr">
        <x:is>
          <x:t xml:space="preserve">Line item</x:t>
        </x:is>
      </x:c>
      <x:c r="B4" s="13" t="inlineStr">
        <x:is>
          <x:t xml:space="preserve">Mar-26</x:t>
        </x:is>
      </x:c>
      <x:c r="C4" s="13" t="inlineStr">
        <x:is>
          <x:t xml:space="preserve">Apr-26</x:t>
        </x:is>
      </x:c>
      <x:c r="D4" s="13" t="inlineStr">
        <x:is>
          <x:t xml:space="preserve">May-26</x:t>
        </x:is>
      </x:c>
      <x:c r="E4" s="13" t="inlineStr">
        <x:is>
          <x:t xml:space="preserve">Jun-26</x:t>
        </x:is>
      </x:c>
      <x:c r="F4" s="13" t="inlineStr">
        <x:is>
          <x:t xml:space="preserve">Jul-26</x:t>
        </x:is>
      </x:c>
      <x:c r="G4" s="13" t="inlineStr">
        <x:is>
          <x:t xml:space="preserve">Aug-26</x:t>
        </x:is>
      </x:c>
      <x:c r="H4" s="13" t="inlineStr">
        <x:is>
          <x:t xml:space="preserve">Sep-26</x:t>
        </x:is>
      </x:c>
      <x:c r="I4" s="13" t="inlineStr">
        <x:is>
          <x:t xml:space="preserve">Oct-26</x:t>
        </x:is>
      </x:c>
      <x:c r="J4" s="13" t="inlineStr">
        <x:is>
          <x:t xml:space="preserve">Nov-26</x:t>
        </x:is>
      </x:c>
      <x:c r="K4" s="13" t="inlineStr">
        <x:is>
          <x:t xml:space="preserve">Dec-26</x:t>
        </x:is>
      </x:c>
      <x:c r="L4" s="13" t="inlineStr">
        <x:is>
          <x:t xml:space="preserve">Jan-27</x:t>
        </x:is>
      </x:c>
      <x:c r="M4" s="13" t="inlineStr">
        <x:is>
          <x:t xml:space="preserve">Feb-27</x:t>
        </x:is>
      </x:c>
      <x:c r="N4" s="13" t="inlineStr">
        <x:is>
          <x:t xml:space="preserve">Mar-27</x:t>
        </x:is>
      </x:c>
      <x:c r="O4" s="13" t="inlineStr">
        <x:is>
          <x:t xml:space="preserve">Apr-27</x:t>
        </x:is>
      </x:c>
      <x:c r="P4" s="13" t="inlineStr">
        <x:is>
          <x:t xml:space="preserve">May-27</x:t>
        </x:is>
      </x:c>
      <x:c r="Q4" s="13" t="inlineStr">
        <x:is>
          <x:t xml:space="preserve">Jun-27</x:t>
        </x:is>
      </x:c>
      <x:c r="R4" s="13" t="inlineStr">
        <x:is>
          <x:t xml:space="preserve">Jul-27</x:t>
        </x:is>
      </x:c>
      <x:c r="S4" s="13" t="inlineStr">
        <x:is>
          <x:t xml:space="preserve">Aug-27</x:t>
        </x:is>
      </x:c>
      <x:c r="T4" s="13" t="inlineStr">
        <x:is>
          <x:t xml:space="preserve">Sep-27</x:t>
        </x:is>
      </x:c>
      <x:c r="U4" s="13" t="inlineStr">
        <x:is>
          <x:t xml:space="preserve">Oct-27</x:t>
        </x:is>
      </x:c>
      <x:c r="V4" s="13" t="inlineStr">
        <x:is>
          <x:t xml:space="preserve">Nov-27</x:t>
        </x:is>
      </x:c>
      <x:c r="W4" s="13" t="inlineStr">
        <x:is>
          <x:t xml:space="preserve">Dec-27</x:t>
        </x:is>
      </x:c>
      <x:c r="X4" s="13" t="inlineStr">
        <x:is>
          <x:t xml:space="preserve">Jan-28</x:t>
        </x:is>
      </x:c>
      <x:c r="Y4" s="13" t="inlineStr">
        <x:is>
          <x:t xml:space="preserve">Feb-28</x:t>
        </x:is>
      </x:c>
    </x:row>
    <x:row r="5">
      <x:c r="A5" s="21" t="inlineStr">
        <x:is>
          <x:t xml:space="preserve">Opening cash</x:t>
        </x:is>
      </x:c>
      <x:c r="B5" s="18">
        <x:f>0</x:f>
        <x:v>0</x:v>
      </x:c>
      <x:c r="C5" s="18">
        <x:f>B11</x:f>
        <x:v>14650</x:v>
      </x:c>
      <x:c r="D5" s="18">
        <x:f>C11</x:f>
        <x:v>11300</x:v>
      </x:c>
      <x:c r="E5" s="18">
        <x:f>D11</x:f>
        <x:v>10950</x:v>
      </x:c>
      <x:c r="F5" s="18">
        <x:f>E11</x:f>
        <x:v>10600</x:v>
      </x:c>
      <x:c r="G5" s="18">
        <x:f>F11</x:f>
        <x:v>10250</x:v>
      </x:c>
      <x:c r="H5" s="18">
        <x:f>G11</x:f>
        <x:v>9900</x:v>
      </x:c>
      <x:c r="I5" s="18">
        <x:f>H11</x:f>
        <x:v>9550</x:v>
      </x:c>
      <x:c r="J5" s="18">
        <x:f>I11</x:f>
        <x:v>9200</x:v>
      </x:c>
      <x:c r="K5" s="18">
        <x:f>J11</x:f>
        <x:v>8850</x:v>
      </x:c>
      <x:c r="L5" s="18">
        <x:f>K11</x:f>
        <x:v>8500</x:v>
      </x:c>
      <x:c r="M5" s="18">
        <x:f>L11</x:f>
        <x:v>8150</x:v>
      </x:c>
      <x:c r="N5" s="18">
        <x:f>M11</x:f>
        <x:v>7800</x:v>
      </x:c>
      <x:c r="O5" s="18">
        <x:f>N11</x:f>
        <x:v>7450</x:v>
      </x:c>
      <x:c r="P5" s="18">
        <x:f>O11</x:f>
        <x:v>7100</x:v>
      </x:c>
      <x:c r="Q5" s="18">
        <x:f>P11</x:f>
        <x:v>6750</x:v>
      </x:c>
      <x:c r="R5" s="18">
        <x:f>Q11</x:f>
        <x:v>6400</x:v>
      </x:c>
      <x:c r="S5" s="18">
        <x:f>R11</x:f>
        <x:v>6050</x:v>
      </x:c>
      <x:c r="T5" s="18">
        <x:f>S11</x:f>
        <x:v>5700</x:v>
      </x:c>
      <x:c r="U5" s="18">
        <x:f>T11</x:f>
        <x:v>5350</x:v>
      </x:c>
      <x:c r="V5" s="18">
        <x:f>U11</x:f>
        <x:v>5000</x:v>
      </x:c>
      <x:c r="W5" s="18">
        <x:f>V11</x:f>
        <x:v>4650</x:v>
      </x:c>
      <x:c r="X5" s="18">
        <x:f>W11</x:f>
        <x:v>4300</x:v>
      </x:c>
      <x:c r="Y5" s="18">
        <x:f>X11</x:f>
        <x:v>3950</x:v>
      </x:c>
    </x:row>
    <x:row r="6">
      <x:c r="A6" s="21" t="inlineStr">
        <x:is>
          <x:t xml:space="preserve">Investor cash in</x:t>
        </x:is>
      </x:c>
      <x:c r="B6" s="18">
        <x:f>IF(1=1,Assumptions!$B$7,0)</x:f>
        <x:v>15000</x:v>
      </x:c>
      <x:c r="C6" s="18">
        <x:f>IF(2=1,Assumptions!$B$7,0)</x:f>
        <x:v>0</x:v>
      </x:c>
      <x:c r="D6" s="18">
        <x:f>IF(3=1,Assumptions!$B$7,0)</x:f>
        <x:v>0</x:v>
      </x:c>
      <x:c r="E6" s="18">
        <x:f>IF(4=1,Assumptions!$B$7,0)</x:f>
        <x:v>0</x:v>
      </x:c>
      <x:c r="F6" s="18">
        <x:f>IF(5=1,Assumptions!$B$7,0)</x:f>
        <x:v>0</x:v>
      </x:c>
      <x:c r="G6" s="18">
        <x:f>IF(6=1,Assumptions!$B$7,0)</x:f>
        <x:v>0</x:v>
      </x:c>
      <x:c r="H6" s="18">
        <x:f>IF(7=1,Assumptions!$B$7,0)</x:f>
        <x:v>0</x:v>
      </x:c>
      <x:c r="I6" s="18">
        <x:f>IF(8=1,Assumptions!$B$7,0)</x:f>
        <x:v>0</x:v>
      </x:c>
      <x:c r="J6" s="18">
        <x:f>IF(9=1,Assumptions!$B$7,0)</x:f>
        <x:v>0</x:v>
      </x:c>
      <x:c r="K6" s="18">
        <x:f>IF(10=1,Assumptions!$B$7,0)</x:f>
        <x:v>0</x:v>
      </x:c>
      <x:c r="L6" s="18">
        <x:f>IF(11=1,Assumptions!$B$7,0)</x:f>
        <x:v>0</x:v>
      </x:c>
      <x:c r="M6" s="18">
        <x:f>IF(12=1,Assumptions!$B$7,0)</x:f>
        <x:v>0</x:v>
      </x:c>
      <x:c r="N6" s="18">
        <x:f>IF(13=1,Assumptions!$B$7,0)</x:f>
        <x:v>0</x:v>
      </x:c>
      <x:c r="O6" s="18">
        <x:f>IF(14=1,Assumptions!$B$7,0)</x:f>
        <x:v>0</x:v>
      </x:c>
      <x:c r="P6" s="18">
        <x:f>IF(15=1,Assumptions!$B$7,0)</x:f>
        <x:v>0</x:v>
      </x:c>
      <x:c r="Q6" s="18">
        <x:f>IF(16=1,Assumptions!$B$7,0)</x:f>
        <x:v>0</x:v>
      </x:c>
      <x:c r="R6" s="18">
        <x:f>IF(17=1,Assumptions!$B$7,0)</x:f>
        <x:v>0</x:v>
      </x:c>
      <x:c r="S6" s="18">
        <x:f>IF(18=1,Assumptions!$B$7,0)</x:f>
        <x:v>0</x:v>
      </x:c>
      <x:c r="T6" s="18">
        <x:f>IF(19=1,Assumptions!$B$7,0)</x:f>
        <x:v>0</x:v>
      </x:c>
      <x:c r="U6" s="18">
        <x:f>IF(20=1,Assumptions!$B$7,0)</x:f>
        <x:v>0</x:v>
      </x:c>
      <x:c r="V6" s="18">
        <x:f>IF(21=1,Assumptions!$B$7,0)</x:f>
        <x:v>0</x:v>
      </x:c>
      <x:c r="W6" s="18">
        <x:f>IF(22=1,Assumptions!$B$7,0)</x:f>
        <x:v>0</x:v>
      </x:c>
      <x:c r="X6" s="18">
        <x:f>IF(23=1,Assumptions!$B$7,0)</x:f>
        <x:v>0</x:v>
      </x:c>
      <x:c r="Y6" s="18">
        <x:f>IF(24=1,Assumptions!$B$7,0)</x:f>
        <x:v>0</x:v>
      </x:c>
    </x:row>
    <x:row r="7">
      <x:c r="A7" s="21" t="inlineStr">
        <x:is>
          <x:t xml:space="preserve">Cash in: Total revenue (from P&amp;L)</x:t>
        </x:is>
      </x:c>
      <x:c r="B7" s="22">
        <x:f>'P&amp;L (Monthly)'!B17</x:f>
        <x:v>0</x:v>
      </x:c>
      <x:c r="C7" s="22">
        <x:f>'P&amp;L (Monthly)'!C17</x:f>
        <x:v>0</x:v>
      </x:c>
      <x:c r="D7" s="22">
        <x:f>'P&amp;L (Monthly)'!D17</x:f>
        <x:v>0</x:v>
      </x:c>
      <x:c r="E7" s="22">
        <x:f>'P&amp;L (Monthly)'!E17</x:f>
        <x:v>0</x:v>
      </x:c>
      <x:c r="F7" s="22">
        <x:f>'P&amp;L (Monthly)'!F17</x:f>
        <x:v>0</x:v>
      </x:c>
      <x:c r="G7" s="22">
        <x:f>'P&amp;L (Monthly)'!G17</x:f>
        <x:v>0</x:v>
      </x:c>
      <x:c r="H7" s="22">
        <x:f>'P&amp;L (Monthly)'!H17</x:f>
        <x:v>0</x:v>
      </x:c>
      <x:c r="I7" s="22">
        <x:f>'P&amp;L (Monthly)'!I17</x:f>
        <x:v>0</x:v>
      </x:c>
      <x:c r="J7" s="22">
        <x:f>'P&amp;L (Monthly)'!J17</x:f>
        <x:v>0</x:v>
      </x:c>
      <x:c r="K7" s="22">
        <x:f>'P&amp;L (Monthly)'!K17</x:f>
        <x:v>0</x:v>
      </x:c>
      <x:c r="L7" s="22">
        <x:f>'P&amp;L (Monthly)'!L17</x:f>
        <x:v>0</x:v>
      </x:c>
      <x:c r="M7" s="22">
        <x:f>'P&amp;L (Monthly)'!M17</x:f>
        <x:v>0</x:v>
      </x:c>
      <x:c r="N7" s="22">
        <x:f>'P&amp;L (Monthly)'!N17</x:f>
        <x:v>0</x:v>
      </x:c>
      <x:c r="O7" s="22">
        <x:f>'P&amp;L (Monthly)'!O17</x:f>
        <x:v>0</x:v>
      </x:c>
      <x:c r="P7" s="22">
        <x:f>'P&amp;L (Monthly)'!P17</x:f>
        <x:v>0</x:v>
      </x:c>
      <x:c r="Q7" s="22">
        <x:f>'P&amp;L (Monthly)'!Q17</x:f>
        <x:v>0</x:v>
      </x:c>
      <x:c r="R7" s="22">
        <x:f>'P&amp;L (Monthly)'!R17</x:f>
        <x:v>0</x:v>
      </x:c>
      <x:c r="S7" s="22">
        <x:f>'P&amp;L (Monthly)'!S17</x:f>
        <x:v>0</x:v>
      </x:c>
      <x:c r="T7" s="22">
        <x:f>'P&amp;L (Monthly)'!T17</x:f>
        <x:v>0</x:v>
      </x:c>
      <x:c r="U7" s="22">
        <x:f>'P&amp;L (Monthly)'!U17</x:f>
        <x:v>0</x:v>
      </x:c>
      <x:c r="V7" s="22">
        <x:f>'P&amp;L (Monthly)'!V17</x:f>
        <x:v>0</x:v>
      </x:c>
      <x:c r="W7" s="22">
        <x:f>'P&amp;L (Monthly)'!W17</x:f>
        <x:v>0</x:v>
      </x:c>
      <x:c r="X7" s="22">
        <x:f>'P&amp;L (Monthly)'!X17</x:f>
        <x:v>0</x:v>
      </x:c>
      <x:c r="Y7" s="22">
        <x:f>'P&amp;L (Monthly)'!Y17</x:f>
        <x:v>0</x:v>
      </x:c>
    </x:row>
    <x:row r="8">
      <x:c r="A8" s="21" t="inlineStr">
        <x:is>
          <x:t xml:space="preserve">Cash out: Total COGS (from P&amp;L)</x:t>
        </x:is>
      </x:c>
      <x:c r="B8" s="22">
        <x:f>'P&amp;L (Monthly)'!B23</x:f>
        <x:v>0</x:v>
      </x:c>
      <x:c r="C8" s="22">
        <x:f>'P&amp;L (Monthly)'!C23</x:f>
        <x:v>0</x:v>
      </x:c>
      <x:c r="D8" s="22">
        <x:f>'P&amp;L (Monthly)'!D23</x:f>
        <x:v>0</x:v>
      </x:c>
      <x:c r="E8" s="22">
        <x:f>'P&amp;L (Monthly)'!E23</x:f>
        <x:v>0</x:v>
      </x:c>
      <x:c r="F8" s="22">
        <x:f>'P&amp;L (Monthly)'!F23</x:f>
        <x:v>0</x:v>
      </x:c>
      <x:c r="G8" s="22">
        <x:f>'P&amp;L (Monthly)'!G23</x:f>
        <x:v>0</x:v>
      </x:c>
      <x:c r="H8" s="22">
        <x:f>'P&amp;L (Monthly)'!H23</x:f>
        <x:v>0</x:v>
      </x:c>
      <x:c r="I8" s="22">
        <x:f>'P&amp;L (Monthly)'!I23</x:f>
        <x:v>0</x:v>
      </x:c>
      <x:c r="J8" s="22">
        <x:f>'P&amp;L (Monthly)'!J23</x:f>
        <x:v>0</x:v>
      </x:c>
      <x:c r="K8" s="22">
        <x:f>'P&amp;L (Monthly)'!K23</x:f>
        <x:v>0</x:v>
      </x:c>
      <x:c r="L8" s="22">
        <x:f>'P&amp;L (Monthly)'!L23</x:f>
        <x:v>0</x:v>
      </x:c>
      <x:c r="M8" s="22">
        <x:f>'P&amp;L (Monthly)'!M23</x:f>
        <x:v>0</x:v>
      </x:c>
      <x:c r="N8" s="22">
        <x:f>'P&amp;L (Monthly)'!N23</x:f>
        <x:v>0</x:v>
      </x:c>
      <x:c r="O8" s="22">
        <x:f>'P&amp;L (Monthly)'!O23</x:f>
        <x:v>0</x:v>
      </x:c>
      <x:c r="P8" s="22">
        <x:f>'P&amp;L (Monthly)'!P23</x:f>
        <x:v>0</x:v>
      </x:c>
      <x:c r="Q8" s="22">
        <x:f>'P&amp;L (Monthly)'!Q23</x:f>
        <x:v>0</x:v>
      </x:c>
      <x:c r="R8" s="22">
        <x:f>'P&amp;L (Monthly)'!R23</x:f>
        <x:v>0</x:v>
      </x:c>
      <x:c r="S8" s="22">
        <x:f>'P&amp;L (Monthly)'!S23</x:f>
        <x:v>0</x:v>
      </x:c>
      <x:c r="T8" s="22">
        <x:f>'P&amp;L (Monthly)'!T23</x:f>
        <x:v>0</x:v>
      </x:c>
      <x:c r="U8" s="22">
        <x:f>'P&amp;L (Monthly)'!U23</x:f>
        <x:v>0</x:v>
      </x:c>
      <x:c r="V8" s="22">
        <x:f>'P&amp;L (Monthly)'!V23</x:f>
        <x:v>0</x:v>
      </x:c>
      <x:c r="W8" s="22">
        <x:f>'P&amp;L (Monthly)'!W23</x:f>
        <x:v>0</x:v>
      </x:c>
      <x:c r="X8" s="22">
        <x:f>'P&amp;L (Monthly)'!X23</x:f>
        <x:v>0</x:v>
      </x:c>
      <x:c r="Y8" s="22">
        <x:f>'P&amp;L (Monthly)'!Y23</x:f>
        <x:v>0</x:v>
      </x:c>
    </x:row>
    <x:row r="9">
      <x:c r="A9" s="21" t="inlineStr">
        <x:is>
          <x:t xml:space="preserve">Cash out: Total opex (from P&amp;L)</x:t>
        </x:is>
      </x:c>
      <x:c r="B9" s="22">
        <x:f>'P&amp;L (Monthly)'!B31</x:f>
        <x:v>350</x:v>
      </x:c>
      <x:c r="C9" s="22">
        <x:f>'P&amp;L (Monthly)'!C31</x:f>
        <x:v>3350</x:v>
      </x:c>
      <x:c r="D9" s="22">
        <x:f>'P&amp;L (Monthly)'!D31</x:f>
        <x:v>350</x:v>
      </x:c>
      <x:c r="E9" s="22">
        <x:f>'P&amp;L (Monthly)'!E31</x:f>
        <x:v>350</x:v>
      </x:c>
      <x:c r="F9" s="22">
        <x:f>'P&amp;L (Monthly)'!F31</x:f>
        <x:v>350</x:v>
      </x:c>
      <x:c r="G9" s="22">
        <x:f>'P&amp;L (Monthly)'!G31</x:f>
        <x:v>350</x:v>
      </x:c>
      <x:c r="H9" s="22">
        <x:f>'P&amp;L (Monthly)'!H31</x:f>
        <x:v>350</x:v>
      </x:c>
      <x:c r="I9" s="22">
        <x:f>'P&amp;L (Monthly)'!I31</x:f>
        <x:v>350</x:v>
      </x:c>
      <x:c r="J9" s="22">
        <x:f>'P&amp;L (Monthly)'!J31</x:f>
        <x:v>350</x:v>
      </x:c>
      <x:c r="K9" s="22">
        <x:f>'P&amp;L (Monthly)'!K31</x:f>
        <x:v>350</x:v>
      </x:c>
      <x:c r="L9" s="22">
        <x:f>'P&amp;L (Monthly)'!L31</x:f>
        <x:v>350</x:v>
      </x:c>
      <x:c r="M9" s="22">
        <x:f>'P&amp;L (Monthly)'!M31</x:f>
        <x:v>350</x:v>
      </x:c>
      <x:c r="N9" s="22">
        <x:f>'P&amp;L (Monthly)'!N31</x:f>
        <x:v>350</x:v>
      </x:c>
      <x:c r="O9" s="22">
        <x:f>'P&amp;L (Monthly)'!O31</x:f>
        <x:v>350</x:v>
      </x:c>
      <x:c r="P9" s="22">
        <x:f>'P&amp;L (Monthly)'!P31</x:f>
        <x:v>350</x:v>
      </x:c>
      <x:c r="Q9" s="22">
        <x:f>'P&amp;L (Monthly)'!Q31</x:f>
        <x:v>350</x:v>
      </x:c>
      <x:c r="R9" s="22">
        <x:f>'P&amp;L (Monthly)'!R31</x:f>
        <x:v>350</x:v>
      </x:c>
      <x:c r="S9" s="22">
        <x:f>'P&amp;L (Monthly)'!S31</x:f>
        <x:v>350</x:v>
      </x:c>
      <x:c r="T9" s="22">
        <x:f>'P&amp;L (Monthly)'!T31</x:f>
        <x:v>350</x:v>
      </x:c>
      <x:c r="U9" s="22">
        <x:f>'P&amp;L (Monthly)'!U31</x:f>
        <x:v>350</x:v>
      </x:c>
      <x:c r="V9" s="22">
        <x:f>'P&amp;L (Monthly)'!V31</x:f>
        <x:v>350</x:v>
      </x:c>
      <x:c r="W9" s="22">
        <x:f>'P&amp;L (Monthly)'!W31</x:f>
        <x:v>350</x:v>
      </x:c>
      <x:c r="X9" s="22">
        <x:f>'P&amp;L (Monthly)'!X31</x:f>
        <x:v>350</x:v>
      </x:c>
      <x:c r="Y9" s="22">
        <x:f>'P&amp;L (Monthly)'!Y31</x:f>
        <x:v>350</x:v>
      </x:c>
    </x:row>
    <x:row r="10">
      <x:c r="A10" s="16" t="inlineStr">
        <x:is>
          <x:t xml:space="preserve">Net cash movement</x:t>
        </x:is>
      </x:c>
      <x:c r="B10" s="23">
        <x:f>B6+B7-B8-B9</x:f>
        <x:v>14650</x:v>
      </x:c>
      <x:c r="C10" s="23">
        <x:f>C6+C7-C8-C9</x:f>
        <x:v>-3350</x:v>
      </x:c>
      <x:c r="D10" s="23">
        <x:f>D6+D7-D8-D9</x:f>
        <x:v>-350</x:v>
      </x:c>
      <x:c r="E10" s="23">
        <x:f>E6+E7-E8-E9</x:f>
        <x:v>-350</x:v>
      </x:c>
      <x:c r="F10" s="23">
        <x:f>F6+F7-F8-F9</x:f>
        <x:v>-350</x:v>
      </x:c>
      <x:c r="G10" s="23">
        <x:f>G6+G7-G8-G9</x:f>
        <x:v>-350</x:v>
      </x:c>
      <x:c r="H10" s="23">
        <x:f>H6+H7-H8-H9</x:f>
        <x:v>-350</x:v>
      </x:c>
      <x:c r="I10" s="23">
        <x:f>I6+I7-I8-I9</x:f>
        <x:v>-350</x:v>
      </x:c>
      <x:c r="J10" s="23">
        <x:f>J6+J7-J8-J9</x:f>
        <x:v>-350</x:v>
      </x:c>
      <x:c r="K10" s="23">
        <x:f>K6+K7-K8-K9</x:f>
        <x:v>-350</x:v>
      </x:c>
      <x:c r="L10" s="23">
        <x:f>L6+L7-L8-L9</x:f>
        <x:v>-350</x:v>
      </x:c>
      <x:c r="M10" s="23">
        <x:f>M6+M7-M8-M9</x:f>
        <x:v>-350</x:v>
      </x:c>
      <x:c r="N10" s="23">
        <x:f>N6+N7-N8-N9</x:f>
        <x:v>-350</x:v>
      </x:c>
      <x:c r="O10" s="23">
        <x:f>O6+O7-O8-O9</x:f>
        <x:v>-350</x:v>
      </x:c>
      <x:c r="P10" s="23">
        <x:f>P6+P7-P8-P9</x:f>
        <x:v>-350</x:v>
      </x:c>
      <x:c r="Q10" s="23">
        <x:f>Q6+Q7-Q8-Q9</x:f>
        <x:v>-350</x:v>
      </x:c>
      <x:c r="R10" s="23">
        <x:f>R6+R7-R8-R9</x:f>
        <x:v>-350</x:v>
      </x:c>
      <x:c r="S10" s="23">
        <x:f>S6+S7-S8-S9</x:f>
        <x:v>-350</x:v>
      </x:c>
      <x:c r="T10" s="23">
        <x:f>T6+T7-T8-T9</x:f>
        <x:v>-350</x:v>
      </x:c>
      <x:c r="U10" s="23">
        <x:f>U6+U7-U8-U9</x:f>
        <x:v>-350</x:v>
      </x:c>
      <x:c r="V10" s="23">
        <x:f>V6+V7-V8-V9</x:f>
        <x:v>-350</x:v>
      </x:c>
      <x:c r="W10" s="23">
        <x:f>W6+W7-W8-W9</x:f>
        <x:v>-350</x:v>
      </x:c>
      <x:c r="X10" s="23">
        <x:f>X6+X7-X8-X9</x:f>
        <x:v>-350</x:v>
      </x:c>
      <x:c r="Y10" s="23">
        <x:f>Y6+Y7-Y8-Y9</x:f>
        <x:v>-350</x:v>
      </x:c>
    </x:row>
    <x:row r="11">
      <x:c r="A11" s="16" t="inlineStr">
        <x:is>
          <x:t xml:space="preserve">Closing cash</x:t>
        </x:is>
      </x:c>
      <x:c r="B11" s="24">
        <x:f>B5+B10</x:f>
        <x:v>14650</x:v>
      </x:c>
      <x:c r="C11" s="24">
        <x:f>C5+C10</x:f>
        <x:v>11300</x:v>
      </x:c>
      <x:c r="D11" s="24">
        <x:f>D5+D10</x:f>
        <x:v>10950</x:v>
      </x:c>
      <x:c r="E11" s="24">
        <x:f>E5+E10</x:f>
        <x:v>10600</x:v>
      </x:c>
      <x:c r="F11" s="24">
        <x:f>F5+F10</x:f>
        <x:v>10250</x:v>
      </x:c>
      <x:c r="G11" s="24">
        <x:f>G5+G10</x:f>
        <x:v>9900</x:v>
      </x:c>
      <x:c r="H11" s="24">
        <x:f>H5+H10</x:f>
        <x:v>9550</x:v>
      </x:c>
      <x:c r="I11" s="24">
        <x:f>I5+I10</x:f>
        <x:v>9200</x:v>
      </x:c>
      <x:c r="J11" s="24">
        <x:f>J5+J10</x:f>
        <x:v>8850</x:v>
      </x:c>
      <x:c r="K11" s="24">
        <x:f>K5+K10</x:f>
        <x:v>8500</x:v>
      </x:c>
      <x:c r="L11" s="24">
        <x:f>L5+L10</x:f>
        <x:v>8150</x:v>
      </x:c>
      <x:c r="M11" s="24">
        <x:f>M5+M10</x:f>
        <x:v>7800</x:v>
      </x:c>
      <x:c r="N11" s="24">
        <x:f>N5+N10</x:f>
        <x:v>7450</x:v>
      </x:c>
      <x:c r="O11" s="24">
        <x:f>O5+O10</x:f>
        <x:v>7100</x:v>
      </x:c>
      <x:c r="P11" s="24">
        <x:f>P5+P10</x:f>
        <x:v>6750</x:v>
      </x:c>
      <x:c r="Q11" s="24">
        <x:f>Q5+Q10</x:f>
        <x:v>6400</x:v>
      </x:c>
      <x:c r="R11" s="24">
        <x:f>R5+R10</x:f>
        <x:v>6050</x:v>
      </x:c>
      <x:c r="S11" s="24">
        <x:f>S5+S10</x:f>
        <x:v>5700</x:v>
      </x:c>
      <x:c r="T11" s="24">
        <x:f>T5+T10</x:f>
        <x:v>5350</x:v>
      </x:c>
      <x:c r="U11" s="24">
        <x:f>U5+U10</x:f>
        <x:v>5000</x:v>
      </x:c>
      <x:c r="V11" s="24">
        <x:f>V5+V10</x:f>
        <x:v>4650</x:v>
      </x:c>
      <x:c r="W11" s="24">
        <x:f>W5+W10</x:f>
        <x:v>4300</x:v>
      </x:c>
      <x:c r="X11" s="24">
        <x:f>X5+X10</x:f>
        <x:v>3950</x:v>
      </x:c>
      <x:c r="Y11" s="24">
        <x:f>Y5+Y10</x:f>
        <x:v>3600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customWidth="1"/>
    <x:col min="2" max="2" width="18" customWidth="1"/>
    <x:col min="3" max="3" width="60" customWidth="1"/>
  </x:cols>
  <x:sheetData>
    <x:row r="1">
      <x:c r="A1" s="1" t="inlineStr">
        <x:is>
          <x:t xml:space="preserve">Investor Dashboard (speculative) — Kastel Stack</x:t>
        </x:is>
      </x:c>
    </x:row>
    <x:row r="2">
      <x:c r="A2" s="2" t="inlineStr">
        <x:is>
          <x:t xml:space="preserve">Key outputs from the base-case assumptions. Adjust inputs to explore sensitivity.</x:t>
        </x:is>
      </x:c>
    </x:row>
    <x:row r="4">
      <x:c r="A4" s="12" t="inlineStr">
        <x:is>
          <x:t xml:space="preserve">KPI</x:t>
        </x:is>
      </x:c>
      <x:c r="B4" s="12" t="inlineStr">
        <x:is>
          <x:t xml:space="preserve">Value</x:t>
        </x:is>
      </x:c>
      <x:c r="C4" s="12" t="inlineStr">
        <x:is>
          <x:t xml:space="preserve">Notes</x:t>
        </x:is>
      </x:c>
    </x:row>
    <x:row r="5">
      <x:c r="A5" s="16" t="inlineStr">
        <x:is>
          <x:t xml:space="preserve">Cash runway (months before cash &lt; £0)</x:t>
        </x:is>
      </x:c>
      <x:c r="B5" s="25">
        <x:f>IFERROR(MATCH(1,$B$20:$Y$20,0)-1,24)</x:f>
        <x:v>24</x:v>
      </x:c>
      <x:c r="C5" s="26" t="inlineStr">
        <x:is>
          <x:t xml:space="preserve">Counts months until first negative closing cash; if never negative, shows 24.</x:t>
        </x:is>
      </x:c>
    </x:row>
    <x:row r="6">
      <x:c r="A6" s="16" t="inlineStr">
        <x:is>
          <x:t xml:space="preserve">Break-even month (net profit ≥ 0)</x:t>
        </x:is>
      </x:c>
      <x:c r="B6" s="27" t="str">
        <x:f>IFERROR(MATCH(1,$B$21:$Y$21,0),"–")</x:f>
        <x:v>–</x:v>
      </x:c>
      <x:c r="C6" s="26" t="inlineStr">
        <x:is>
          <x:t xml:space="preserve">First month where net profit is non-negative.</x:t>
        </x:is>
      </x:c>
    </x:row>
    <x:row r="7">
      <x:c r="A7" s="16" t="inlineStr">
        <x:is>
          <x:t xml:space="preserve">Customers at month 12 (A / B / C)</x:t>
        </x:is>
      </x:c>
      <x:c r="B7" s="28">
        <x:f>'P&amp;L (Monthly)'!M6 &amp; " / " &amp; 'P&amp;L (Monthly)'!M7 &amp; " / " &amp; 'P&amp;L (Monthly)'!M8</x:f>
        <x:v>23</x:v>
      </x:c>
      <x:c r="C7" s="26" t="inlineStr">
        <x:is>
          <x:t xml:space="preserve">End-of-month customer counts.</x:t>
        </x:is>
      </x:c>
    </x:row>
    <x:row r="8">
      <x:c r="A8" s="16" t="inlineStr">
        <x:is>
          <x:t xml:space="preserve">Monthly recurring revenue at month 12 (MRR)</x:t>
        </x:is>
      </x:c>
      <x:c r="B8" s="29">
        <x:f>('P&amp;L (Monthly)'!M11+'P&amp;L (Monthly)'!M12+'P&amp;L (Monthly)'!M13)</x:f>
        <x:v>23</x:v>
      </x:c>
      <x:c r="C8" s="26" t="inlineStr">
        <x:is>
          <x:t xml:space="preserve">Subscriptions only (excludes setup/hardware).</x:t>
        </x:is>
      </x:c>
    </x:row>
    <x:row r="9">
      <x:c r="A9" s="16" t="inlineStr">
        <x:is>
          <x:t xml:space="preserve">Annual recurring revenue at month 12 (ARR)</x:t>
        </x:is>
      </x:c>
      <x:c r="B9" s="29">
        <x:f>B8*12</x:f>
        <x:v>23</x:v>
      </x:c>
      <x:c r="C9" s="26" t="inlineStr">
        <x:is>
          <x:t xml:space="preserve">MRR × 12.</x:t>
        </x:is>
      </x:c>
    </x:row>
    <x:row r="10">
      <x:c r="A10" s="16" t="inlineStr">
        <x:is>
          <x:t xml:space="preserve">Closing cash at month 12</x:t>
        </x:is>
      </x:c>
      <x:c r="B10" s="29">
        <x:f>'Cashflow (Monthly)'!M11</x:f>
        <x:v>7800</x:v>
      </x:c>
      <x:c r="C10" s="26" t="inlineStr">
        <x:is>
          <x:t xml:space="preserve">Cash after revenue and costs.</x:t>
        </x:is>
      </x:c>
    </x:row>
    <x:row r="11">
      <x:c r="A11" s="16" t="inlineStr">
        <x:is>
          <x:t xml:space="preserve">Annual recurring revenue at month 24 (ARR)</x:t>
        </x:is>
      </x:c>
      <x:c r="B11" s="29">
        <x:f>('P&amp;L (Monthly)'!Y11+'P&amp;L (Monthly)'!Y12+'P&amp;L (Monthly)'!Y13)*12</x:f>
        <x:v>23</x:v>
      </x:c>
      <x:c r="C11" s="26" t="inlineStr">
        <x:is>
          <x:t xml:space="preserve">MRR × 12 at month 24.</x:t>
        </x:is>
      </x:c>
    </x:row>
    <x:row r="12">
      <x:c r="A12" s="16" t="inlineStr">
        <x:is>
          <x:t xml:space="preserve">Closing cash at month 24</x:t>
        </x:is>
      </x:c>
      <x:c r="B12" s="29">
        <x:f>'Cashflow (Monthly)'!Y11</x:f>
        <x:v>3600</x:v>
      </x:c>
      <x:c r="C12" s="26" t="inlineStr">
        <x:is>
          <x:t xml:space="preserve">Cash after revenue and costs.</x:t>
        </x:is>
      </x:c>
    </x:row>
    <x:row r="14" ht="86" customHeight="1">
      <x:c r="A14" s="11" t="inlineStr">
        <x:is>
          <x:t xml:space="preserve">Investor expectations (typical for a £15k seed cheque):
• A working MVP in 6–8 weeks (core flows + safety gate + audit log).
• 1–2 pilots that validate reliability (low error rate + rollback works).
• Evidence of demand: qualified leads and paid conversions.
• A clear packaging plan: Tier A (cloud) → Tier B (hybrid) → Tier C (local appliance) → Tier D (high assurance).</x:t>
        </x:is>
      </x:c>
      <x:c r="B14" s="32" t="n"/>
      <x:c r="C14" s="33" t="n"/>
    </x:row>
    <x:row r="15">
      <x:c r="A15" s="34" t="n"/>
      <x:c r="C15" s="35" t="n"/>
    </x:row>
    <x:row r="16">
      <x:c r="A16" s="34" t="n"/>
      <x:c r="C16" s="35" t="n"/>
    </x:row>
    <x:row r="17">
      <x:c r="A17" s="34" t="n"/>
      <x:c r="C17" s="35" t="n"/>
    </x:row>
    <x:row r="18">
      <x:c r="A18" s="36" t="n"/>
      <x:c r="B18" s="37" t="n"/>
      <x:c r="C18" s="38" t="n"/>
    </x:row>
    <x:row r="19">
      <x:c r="A19" s="8" t="inlineStr">
        <x:is>
          <x:t xml:space="preserve">Month #</x:t>
        </x:is>
      </x:c>
      <x:c r="B19" s="30" t="n">
        <x:v>1</x:v>
      </x:c>
      <x:c r="C19" s="30" t="n">
        <x:v>2</x:v>
      </x:c>
      <x:c r="D19" s="30" t="n">
        <x:v>3</x:v>
      </x:c>
      <x:c r="E19" s="30" t="n">
        <x:v>4</x:v>
      </x:c>
      <x:c r="F19" s="30" t="n">
        <x:v>5</x:v>
      </x:c>
      <x:c r="G19" s="30" t="n">
        <x:v>6</x:v>
      </x:c>
      <x:c r="H19" s="30" t="n">
        <x:v>7</x:v>
      </x:c>
      <x:c r="I19" s="30" t="n">
        <x:v>8</x:v>
      </x:c>
      <x:c r="J19" s="30" t="n">
        <x:v>9</x:v>
      </x:c>
      <x:c r="K19" s="30" t="n">
        <x:v>10</x:v>
      </x:c>
      <x:c r="L19" s="30" t="n">
        <x:v>11</x:v>
      </x:c>
      <x:c r="M19" s="30" t="n">
        <x:v>12</x:v>
      </x:c>
      <x:c r="N19" s="30" t="n">
        <x:v>13</x:v>
      </x:c>
      <x:c r="O19" s="30" t="n">
        <x:v>14</x:v>
      </x:c>
      <x:c r="P19" s="30" t="n">
        <x:v>15</x:v>
      </x:c>
      <x:c r="Q19" s="30" t="n">
        <x:v>16</x:v>
      </x:c>
      <x:c r="R19" s="30" t="n">
        <x:v>17</x:v>
      </x:c>
      <x:c r="S19" s="30" t="n">
        <x:v>18</x:v>
      </x:c>
      <x:c r="T19" s="30" t="n">
        <x:v>19</x:v>
      </x:c>
      <x:c r="U19" s="30" t="n">
        <x:v>20</x:v>
      </x:c>
      <x:c r="V19" s="30" t="n">
        <x:v>21</x:v>
      </x:c>
      <x:c r="W19" s="30" t="n">
        <x:v>22</x:v>
      </x:c>
      <x:c r="X19" s="30" t="n">
        <x:v>23</x:v>
      </x:c>
      <x:c r="Y19" s="30" t="n">
        <x:v>24</x:v>
      </x:c>
    </x:row>
    <x:row r="20">
      <x:c r="A20" s="8" t="inlineStr">
        <x:is>
          <x:t xml:space="preserve">Cash negative?</x:t>
        </x:is>
      </x:c>
      <x:c r="B20" s="31">
        <x:f>IF('Cashflow (Monthly)'!B11&lt;0,1,0)</x:f>
        <x:v>0</x:v>
      </x:c>
      <x:c r="C20" s="31">
        <x:f>IF('Cashflow (Monthly)'!C11&lt;0,1,0)</x:f>
        <x:v>0</x:v>
      </x:c>
      <x:c r="D20" s="31">
        <x:f>IF('Cashflow (Monthly)'!D11&lt;0,1,0)</x:f>
        <x:v>0</x:v>
      </x:c>
      <x:c r="E20" s="31">
        <x:f>IF('Cashflow (Monthly)'!E11&lt;0,1,0)</x:f>
        <x:v>0</x:v>
      </x:c>
      <x:c r="F20" s="31">
        <x:f>IF('Cashflow (Monthly)'!F11&lt;0,1,0)</x:f>
        <x:v>0</x:v>
      </x:c>
      <x:c r="G20" s="31">
        <x:f>IF('Cashflow (Monthly)'!G11&lt;0,1,0)</x:f>
        <x:v>0</x:v>
      </x:c>
      <x:c r="H20" s="31">
        <x:f>IF('Cashflow (Monthly)'!H11&lt;0,1,0)</x:f>
        <x:v>0</x:v>
      </x:c>
      <x:c r="I20" s="31">
        <x:f>IF('Cashflow (Monthly)'!I11&lt;0,1,0)</x:f>
        <x:v>0</x:v>
      </x:c>
      <x:c r="J20" s="31">
        <x:f>IF('Cashflow (Monthly)'!J11&lt;0,1,0)</x:f>
        <x:v>0</x:v>
      </x:c>
      <x:c r="K20" s="31">
        <x:f>IF('Cashflow (Monthly)'!K11&lt;0,1,0)</x:f>
        <x:v>0</x:v>
      </x:c>
      <x:c r="L20" s="31">
        <x:f>IF('Cashflow (Monthly)'!L11&lt;0,1,0)</x:f>
        <x:v>0</x:v>
      </x:c>
      <x:c r="M20" s="31">
        <x:f>IF('Cashflow (Monthly)'!M11&lt;0,1,0)</x:f>
        <x:v>0</x:v>
      </x:c>
      <x:c r="N20" s="31">
        <x:f>IF('Cashflow (Monthly)'!N11&lt;0,1,0)</x:f>
        <x:v>0</x:v>
      </x:c>
      <x:c r="O20" s="31">
        <x:f>IF('Cashflow (Monthly)'!O11&lt;0,1,0)</x:f>
        <x:v>0</x:v>
      </x:c>
      <x:c r="P20" s="31">
        <x:f>IF('Cashflow (Monthly)'!P11&lt;0,1,0)</x:f>
        <x:v>0</x:v>
      </x:c>
      <x:c r="Q20" s="31">
        <x:f>IF('Cashflow (Monthly)'!Q11&lt;0,1,0)</x:f>
        <x:v>0</x:v>
      </x:c>
      <x:c r="R20" s="31">
        <x:f>IF('Cashflow (Monthly)'!R11&lt;0,1,0)</x:f>
        <x:v>0</x:v>
      </x:c>
      <x:c r="S20" s="31">
        <x:f>IF('Cashflow (Monthly)'!S11&lt;0,1,0)</x:f>
        <x:v>0</x:v>
      </x:c>
      <x:c r="T20" s="31">
        <x:f>IF('Cashflow (Monthly)'!T11&lt;0,1,0)</x:f>
        <x:v>0</x:v>
      </x:c>
      <x:c r="U20" s="31">
        <x:f>IF('Cashflow (Monthly)'!U11&lt;0,1,0)</x:f>
        <x:v>0</x:v>
      </x:c>
      <x:c r="V20" s="31">
        <x:f>IF('Cashflow (Monthly)'!V11&lt;0,1,0)</x:f>
        <x:v>0</x:v>
      </x:c>
      <x:c r="W20" s="31">
        <x:f>IF('Cashflow (Monthly)'!W11&lt;0,1,0)</x:f>
        <x:v>0</x:v>
      </x:c>
      <x:c r="X20" s="31">
        <x:f>IF('Cashflow (Monthly)'!X11&lt;0,1,0)</x:f>
        <x:v>0</x:v>
      </x:c>
      <x:c r="Y20" s="31">
        <x:f>IF('Cashflow (Monthly)'!Y11&lt;0,1,0)</x:f>
        <x:v>0</x:v>
      </x:c>
    </x:row>
    <x:row r="21">
      <x:c r="A21" s="8" t="inlineStr">
        <x:is>
          <x:t xml:space="preserve">Break-even?</x:t>
        </x:is>
      </x:c>
      <x:c r="B21" s="31">
        <x:f>IF('P&amp;L (Monthly)'!B32&gt;=0,1,0)</x:f>
        <x:v>0</x:v>
      </x:c>
      <x:c r="C21" s="31">
        <x:f>IF('P&amp;L (Monthly)'!C32&gt;=0,1,0)</x:f>
        <x:v>0</x:v>
      </x:c>
      <x:c r="D21" s="31">
        <x:f>IF('P&amp;L (Monthly)'!D32&gt;=0,1,0)</x:f>
        <x:v>0</x:v>
      </x:c>
      <x:c r="E21" s="31">
        <x:f>IF('P&amp;L (Monthly)'!E32&gt;=0,1,0)</x:f>
        <x:v>0</x:v>
      </x:c>
      <x:c r="F21" s="31">
        <x:f>IF('P&amp;L (Monthly)'!F32&gt;=0,1,0)</x:f>
        <x:v>0</x:v>
      </x:c>
      <x:c r="G21" s="31">
        <x:f>IF('P&amp;L (Monthly)'!G32&gt;=0,1,0)</x:f>
        <x:v>0</x:v>
      </x:c>
      <x:c r="H21" s="31">
        <x:f>IF('P&amp;L (Monthly)'!H32&gt;=0,1,0)</x:f>
        <x:v>0</x:v>
      </x:c>
      <x:c r="I21" s="31">
        <x:f>IF('P&amp;L (Monthly)'!I32&gt;=0,1,0)</x:f>
        <x:v>0</x:v>
      </x:c>
      <x:c r="J21" s="31">
        <x:f>IF('P&amp;L (Monthly)'!J32&gt;=0,1,0)</x:f>
        <x:v>0</x:v>
      </x:c>
      <x:c r="K21" s="31">
        <x:f>IF('P&amp;L (Monthly)'!K32&gt;=0,1,0)</x:f>
        <x:v>0</x:v>
      </x:c>
      <x:c r="L21" s="31">
        <x:f>IF('P&amp;L (Monthly)'!L32&gt;=0,1,0)</x:f>
        <x:v>0</x:v>
      </x:c>
      <x:c r="M21" s="31">
        <x:f>IF('P&amp;L (Monthly)'!M32&gt;=0,1,0)</x:f>
        <x:v>0</x:v>
      </x:c>
      <x:c r="N21" s="31">
        <x:f>IF('P&amp;L (Monthly)'!N32&gt;=0,1,0)</x:f>
        <x:v>0</x:v>
      </x:c>
      <x:c r="O21" s="31">
        <x:f>IF('P&amp;L (Monthly)'!O32&gt;=0,1,0)</x:f>
        <x:v>0</x:v>
      </x:c>
      <x:c r="P21" s="31">
        <x:f>IF('P&amp;L (Monthly)'!P32&gt;=0,1,0)</x:f>
        <x:v>0</x:v>
      </x:c>
      <x:c r="Q21" s="31">
        <x:f>IF('P&amp;L (Monthly)'!Q32&gt;=0,1,0)</x:f>
        <x:v>0</x:v>
      </x:c>
      <x:c r="R21" s="31">
        <x:f>IF('P&amp;L (Monthly)'!R32&gt;=0,1,0)</x:f>
        <x:v>0</x:v>
      </x:c>
      <x:c r="S21" s="31">
        <x:f>IF('P&amp;L (Monthly)'!S32&gt;=0,1,0)</x:f>
        <x:v>0</x:v>
      </x:c>
      <x:c r="T21" s="31">
        <x:f>IF('P&amp;L (Monthly)'!T32&gt;=0,1,0)</x:f>
        <x:v>0</x:v>
      </x:c>
      <x:c r="U21" s="31">
        <x:f>IF('P&amp;L (Monthly)'!U32&gt;=0,1,0)</x:f>
        <x:v>0</x:v>
      </x:c>
      <x:c r="V21" s="31">
        <x:f>IF('P&amp;L (Monthly)'!V32&gt;=0,1,0)</x:f>
        <x:v>0</x:v>
      </x:c>
      <x:c r="W21" s="31">
        <x:f>IF('P&amp;L (Monthly)'!W32&gt;=0,1,0)</x:f>
        <x:v>0</x:v>
      </x:c>
      <x:c r="X21" s="31">
        <x:f>IF('P&amp;L (Monthly)'!X32&gt;=0,1,0)</x:f>
        <x:v>0</x:v>
      </x:c>
      <x:c r="Y21" s="31">
        <x:f>IF('P&amp;L (Monthly)'!Y32&gt;=0,1,0)</x:f>
        <x:v>0</x:v>
      </x:c>
    </x:row>
    <x:row r="22"/>
    <x:row r="23"/>
  </x:sheetData>
  <x:mergeCells>
    <x:mergeCell ref="A14:C18"/>
  </x:mergeCells>
  <x:pageMargins left="0.7" right="0.7" top="0.75" bottom="0.75" header="0.3" footer="0.3"/>
</x:worksheet>
</file>